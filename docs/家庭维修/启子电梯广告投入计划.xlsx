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tabRatio="230"/>
  </bookViews>
  <sheets>
    <sheet name="Sheet1" sheetId="2" r:id="rId1"/>
    <sheet name="Sheet2" sheetId="3" r:id="rId2"/>
  </sheets>
  <definedNames>
    <definedName name="黄石港">#REF!</definedName>
  </definedNames>
  <calcPr calcId="144525"/>
</workbook>
</file>

<file path=xl/sharedStrings.xml><?xml version="1.0" encoding="utf-8"?>
<sst xmlns="http://schemas.openxmlformats.org/spreadsheetml/2006/main" count="215" uniqueCount="90">
  <si>
    <t>小区信息一览表</t>
  </si>
  <si>
    <t>地址位置</t>
  </si>
  <si>
    <t>楼盘信息</t>
  </si>
  <si>
    <t>受众群体</t>
  </si>
  <si>
    <t>编号</t>
  </si>
  <si>
    <t>所属    区域</t>
  </si>
  <si>
    <t>楼宇名称</t>
  </si>
  <si>
    <t>楼盘 性质</t>
  </si>
  <si>
    <t>级别</t>
  </si>
  <si>
    <t>入住时间</t>
  </si>
  <si>
    <t>楼栋数</t>
  </si>
  <si>
    <t>门洞数</t>
  </si>
  <si>
    <t>居住规模（户）</t>
  </si>
  <si>
    <t>入住人数（户）</t>
  </si>
  <si>
    <t>入住率（%）</t>
  </si>
  <si>
    <t>一期黄色</t>
  </si>
  <si>
    <t>二期蓝色</t>
  </si>
  <si>
    <t>三期紫色</t>
  </si>
  <si>
    <t>西湖大道</t>
  </si>
  <si>
    <t>金山华府</t>
  </si>
  <si>
    <t>商住</t>
  </si>
  <si>
    <t>A+</t>
  </si>
  <si>
    <t>①+②+③+⑤</t>
  </si>
  <si>
    <t>福星城</t>
  </si>
  <si>
    <t>①+②+③+④+⑤</t>
  </si>
  <si>
    <t>西湖国际一期</t>
  </si>
  <si>
    <t>A</t>
  </si>
  <si>
    <t>①+②+③+④</t>
  </si>
  <si>
    <t>西湖国际三期</t>
  </si>
  <si>
    <t>住宅</t>
  </si>
  <si>
    <t>翰林珑城</t>
  </si>
  <si>
    <t>西湖华府</t>
  </si>
  <si>
    <r>
      <rPr>
        <sz val="9"/>
        <rFont val="宋体"/>
        <charset val="134"/>
      </rPr>
      <t>A</t>
    </r>
    <r>
      <rPr>
        <sz val="9"/>
        <rFont val="宋体"/>
        <charset val="134"/>
      </rPr>
      <t>+</t>
    </r>
  </si>
  <si>
    <t>金丰家园</t>
  </si>
  <si>
    <t>西湖华庭</t>
  </si>
  <si>
    <t>文化路</t>
  </si>
  <si>
    <t>文化世纪城一期</t>
  </si>
  <si>
    <t>文化世纪城二期</t>
  </si>
  <si>
    <t>尚世翰湾</t>
  </si>
  <si>
    <t>北桥路</t>
  </si>
  <si>
    <t>七里村还建房</t>
  </si>
  <si>
    <t>①+②+③+⑥</t>
  </si>
  <si>
    <t>祥和名苑</t>
  </si>
  <si>
    <t>祥和花园</t>
  </si>
  <si>
    <t>滨湖大道</t>
  </si>
  <si>
    <t>滨湖城市花园</t>
  </si>
  <si>
    <t>银湖城</t>
  </si>
  <si>
    <t>帝景豪庭</t>
  </si>
  <si>
    <t>公园新城一期</t>
  </si>
  <si>
    <t>①+②+③+④+⑥</t>
  </si>
  <si>
    <t>银湖国际一期</t>
  </si>
  <si>
    <t>银湖国际二期</t>
  </si>
  <si>
    <t>人民大道</t>
  </si>
  <si>
    <t>同仁广场</t>
  </si>
  <si>
    <t>澳林新都</t>
  </si>
  <si>
    <t>蓝翔小区</t>
  </si>
  <si>
    <t>德法名苑</t>
  </si>
  <si>
    <t>世纪新城一期</t>
  </si>
  <si>
    <t>体育馆路</t>
  </si>
  <si>
    <t>九御皇城</t>
  </si>
  <si>
    <t>九御皇城（南门）</t>
  </si>
  <si>
    <t>洲际观天下二期</t>
  </si>
  <si>
    <t>洲际观天下</t>
  </si>
  <si>
    <t>仙女大道</t>
  </si>
  <si>
    <t>汉北星城</t>
  </si>
  <si>
    <t>银湖天街</t>
  </si>
  <si>
    <t>金桂嘉园</t>
  </si>
  <si>
    <t>天街精品酒店</t>
  </si>
  <si>
    <t>商业</t>
  </si>
  <si>
    <t>霍城大道</t>
  </si>
  <si>
    <t>御景春城</t>
  </si>
  <si>
    <t>悦动城</t>
  </si>
  <si>
    <t>滨湖名邸</t>
  </si>
  <si>
    <t>祥和锦绣城</t>
  </si>
  <si>
    <t>郝城国际</t>
  </si>
  <si>
    <t>地税小区</t>
  </si>
  <si>
    <t>新汉都</t>
  </si>
  <si>
    <t>南街</t>
  </si>
  <si>
    <t>安顺东园</t>
  </si>
  <si>
    <t>欢乐街</t>
  </si>
  <si>
    <t>欢乐街CBD</t>
  </si>
  <si>
    <t>泵站路</t>
  </si>
  <si>
    <t>帝景龙湾</t>
  </si>
  <si>
    <t>汉云桥</t>
  </si>
  <si>
    <t>雍豪府</t>
  </si>
  <si>
    <t>还建房北岸</t>
  </si>
  <si>
    <t>还建房南岸</t>
  </si>
  <si>
    <t>合计</t>
  </si>
  <si>
    <r>
      <rPr>
        <sz val="9"/>
        <rFont val="宋体"/>
        <charset val="134"/>
      </rPr>
      <t xml:space="preserve">    </t>
    </r>
    <r>
      <rPr>
        <b/>
        <sz val="9"/>
        <rFont val="宋体"/>
        <charset val="134"/>
      </rPr>
      <t>①</t>
    </r>
    <r>
      <rPr>
        <sz val="9"/>
        <rFont val="宋体"/>
        <charset val="134"/>
      </rPr>
      <t xml:space="preserve">代表私营企业主、个体经营户  </t>
    </r>
    <r>
      <rPr>
        <b/>
        <sz val="9"/>
        <rFont val="宋体"/>
        <charset val="134"/>
      </rPr>
      <t>②</t>
    </r>
    <r>
      <rPr>
        <sz val="9"/>
        <rFont val="宋体"/>
        <charset val="134"/>
      </rPr>
      <t xml:space="preserve">代表外企、国企、内企（主要银行、保险等金融机构）高级职业经理人、高级职员  </t>
    </r>
    <r>
      <rPr>
        <b/>
        <sz val="9"/>
        <rFont val="宋体"/>
        <charset val="134"/>
      </rPr>
      <t>③</t>
    </r>
    <r>
      <rPr>
        <sz val="9"/>
        <rFont val="宋体"/>
        <charset val="134"/>
      </rPr>
      <t>代表政府机关中高层官员/公务员</t>
    </r>
  </si>
  <si>
    <r>
      <rPr>
        <sz val="9"/>
        <rFont val="宋体"/>
        <charset val="134"/>
      </rPr>
      <t xml:space="preserve">    </t>
    </r>
    <r>
      <rPr>
        <b/>
        <sz val="9"/>
        <rFont val="宋体"/>
        <charset val="134"/>
      </rPr>
      <t>④</t>
    </r>
    <r>
      <rPr>
        <sz val="9"/>
        <rFont val="宋体"/>
        <charset val="134"/>
      </rPr>
      <t xml:space="preserve">代表院校教师，医务工作者等高知人士  </t>
    </r>
    <r>
      <rPr>
        <b/>
        <sz val="9"/>
        <rFont val="宋体"/>
        <charset val="134"/>
      </rPr>
      <t>⑤</t>
    </r>
    <r>
      <rPr>
        <sz val="9"/>
        <rFont val="宋体"/>
        <charset val="134"/>
      </rPr>
      <t xml:space="preserve">代表金领、白领，高级职员  </t>
    </r>
    <r>
      <rPr>
        <b/>
        <sz val="9"/>
        <rFont val="宋体"/>
        <charset val="134"/>
      </rPr>
      <t>⑥</t>
    </r>
    <r>
      <rPr>
        <sz val="9"/>
        <rFont val="宋体"/>
        <charset val="134"/>
      </rPr>
      <t xml:space="preserve">代表本地居民或还建户 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</si>
</sst>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name val="宋体"/>
      <charset val="134"/>
    </font>
    <font>
      <b/>
      <sz val="2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sz val="9"/>
      <color theme="1"/>
      <name val="宋体"/>
      <charset val="134"/>
    </font>
    <font>
      <sz val="9"/>
      <color indexed="4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8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9"/>
      <name val="宋体"/>
      <charset val="134"/>
    </font>
    <font>
      <b/>
      <sz val="11"/>
      <color indexed="52"/>
      <name val="宋体"/>
      <charset val="134"/>
    </font>
    <font>
      <sz val="11"/>
      <color rgb="FF000000"/>
      <name val="宋体"/>
      <charset val="134"/>
    </font>
    <font>
      <sz val="11"/>
      <color rgb="FFFFFFFF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1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</borders>
  <cellStyleXfs count="75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1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0" fillId="9" borderId="0">
      <protection locked="0"/>
    </xf>
    <xf numFmtId="41" fontId="7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3" borderId="14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15" borderId="0">
      <protection locked="0"/>
    </xf>
    <xf numFmtId="0" fontId="10" fillId="15" borderId="0">
      <protection locked="0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18" borderId="17" applyNumberFormat="0" applyAlignment="0" applyProtection="0">
      <alignment vertical="center"/>
    </xf>
    <xf numFmtId="0" fontId="22" fillId="18" borderId="13" applyNumberFormat="0" applyAlignment="0" applyProtection="0">
      <alignment vertical="center"/>
    </xf>
    <xf numFmtId="0" fontId="23" fillId="19" borderId="18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25" borderId="0">
      <protection locked="0"/>
    </xf>
    <xf numFmtId="0" fontId="28" fillId="26" borderId="0">
      <protection locked="0"/>
    </xf>
    <xf numFmtId="0" fontId="8" fillId="27" borderId="0" applyNumberFormat="0" applyBorder="0" applyAlignment="0" applyProtection="0">
      <alignment vertical="center"/>
    </xf>
    <xf numFmtId="0" fontId="29" fillId="28" borderId="21">
      <protection locked="0"/>
    </xf>
    <xf numFmtId="0" fontId="10" fillId="25" borderId="0">
      <protection locked="0"/>
    </xf>
    <xf numFmtId="0" fontId="10" fillId="29" borderId="0">
      <protection locked="0"/>
    </xf>
    <xf numFmtId="0" fontId="10" fillId="29" borderId="0">
      <protection locked="0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0" fillId="25" borderId="0">
      <protection locked="0"/>
    </xf>
    <xf numFmtId="0" fontId="30" fillId="36" borderId="0">
      <protection locked="0"/>
    </xf>
    <xf numFmtId="0" fontId="10" fillId="25" borderId="0">
      <protection locked="0"/>
    </xf>
    <xf numFmtId="0" fontId="10" fillId="25" borderId="0">
      <protection locked="0"/>
    </xf>
    <xf numFmtId="0" fontId="31" fillId="37" borderId="0">
      <protection locked="0"/>
    </xf>
    <xf numFmtId="0" fontId="8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28" fillId="40" borderId="0">
      <protection locked="0"/>
    </xf>
    <xf numFmtId="0" fontId="10" fillId="25" borderId="0">
      <protection locked="0"/>
    </xf>
    <xf numFmtId="0" fontId="10" fillId="41" borderId="0">
      <protection locked="0"/>
    </xf>
    <xf numFmtId="0" fontId="12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28" fillId="40" borderId="0">
      <protection locked="0"/>
    </xf>
    <xf numFmtId="0" fontId="12" fillId="44" borderId="0" applyNumberFormat="0" applyBorder="0" applyAlignment="0" applyProtection="0">
      <alignment vertical="center"/>
    </xf>
    <xf numFmtId="0" fontId="10" fillId="25" borderId="0">
      <protection locked="0"/>
    </xf>
    <xf numFmtId="0" fontId="10" fillId="45" borderId="0">
      <protection locked="0"/>
    </xf>
    <xf numFmtId="0" fontId="32" fillId="0" borderId="22">
      <protection locked="0"/>
    </xf>
    <xf numFmtId="0" fontId="32" fillId="0" borderId="22">
      <protection locked="0"/>
    </xf>
    <xf numFmtId="0" fontId="32" fillId="0" borderId="22">
      <protection locked="0"/>
    </xf>
    <xf numFmtId="0" fontId="33" fillId="0" borderId="0">
      <protection locked="0"/>
    </xf>
    <xf numFmtId="0" fontId="32" fillId="0" borderId="22">
      <protection locked="0"/>
    </xf>
    <xf numFmtId="0" fontId="0" fillId="0" borderId="0">
      <protection locked="0"/>
    </xf>
    <xf numFmtId="0" fontId="0" fillId="0" borderId="0">
      <protection locked="0"/>
    </xf>
    <xf numFmtId="0" fontId="28" fillId="40" borderId="0">
      <protection locked="0"/>
    </xf>
  </cellStyleXfs>
  <cellXfs count="10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65" applyFont="1" applyFill="1" applyBorder="1" applyAlignment="1">
      <alignment horizontal="center" vertical="center"/>
      <protection locked="0"/>
    </xf>
    <xf numFmtId="0" fontId="3" fillId="2" borderId="3" xfId="65" applyFont="1" applyFill="1" applyBorder="1" applyAlignment="1">
      <alignment horizontal="center" vertical="center"/>
      <protection locked="0"/>
    </xf>
    <xf numFmtId="0" fontId="2" fillId="2" borderId="4" xfId="67" applyFont="1" applyFill="1" applyBorder="1" applyAlignment="1" applyProtection="1">
      <alignment horizontal="center" vertical="center"/>
    </xf>
    <xf numFmtId="0" fontId="3" fillId="2" borderId="5" xfId="67" applyFont="1" applyFill="1" applyBorder="1" applyAlignment="1" applyProtection="1">
      <alignment horizontal="center" vertical="center"/>
    </xf>
    <xf numFmtId="0" fontId="4" fillId="2" borderId="6" xfId="65" applyFont="1" applyFill="1" applyBorder="1" applyAlignment="1" applyProtection="1">
      <alignment horizontal="center" vertical="center" wrapText="1"/>
    </xf>
    <xf numFmtId="0" fontId="4" fillId="2" borderId="6" xfId="65" applyFont="1" applyFill="1" applyBorder="1" applyAlignment="1" applyProtection="1">
      <alignment horizontal="center" vertical="center"/>
    </xf>
    <xf numFmtId="0" fontId="4" fillId="2" borderId="7" xfId="65" applyFont="1" applyFill="1" applyBorder="1" applyAlignment="1" applyProtection="1">
      <alignment horizontal="center" vertical="center" wrapText="1"/>
    </xf>
    <xf numFmtId="0" fontId="4" fillId="2" borderId="7" xfId="65" applyFont="1" applyFill="1" applyBorder="1" applyAlignment="1" applyProtection="1">
      <alignment horizontal="center" vertical="center"/>
    </xf>
    <xf numFmtId="0" fontId="4" fillId="2" borderId="3" xfId="65" applyFont="1" applyFill="1" applyBorder="1" applyAlignment="1" applyProtection="1">
      <alignment horizontal="center" vertical="center" wrapText="1"/>
    </xf>
    <xf numFmtId="0" fontId="3" fillId="3" borderId="3" xfId="65" applyFont="1" applyFill="1" applyBorder="1" applyAlignment="1" applyProtection="1">
      <alignment horizontal="left" vertical="center" wrapText="1"/>
    </xf>
    <xf numFmtId="0" fontId="3" fillId="3" borderId="3" xfId="53" applyFont="1" applyFill="1" applyBorder="1" applyAlignment="1" applyProtection="1">
      <alignment horizontal="center" vertical="center"/>
    </xf>
    <xf numFmtId="0" fontId="3" fillId="3" borderId="3" xfId="65" applyFont="1" applyFill="1" applyBorder="1" applyAlignment="1" applyProtection="1">
      <alignment horizontal="center" vertical="center"/>
    </xf>
    <xf numFmtId="0" fontId="3" fillId="3" borderId="6" xfId="65" applyFont="1" applyFill="1" applyBorder="1" applyAlignment="1" applyProtection="1">
      <alignment horizontal="center" vertical="center"/>
    </xf>
    <xf numFmtId="0" fontId="3" fillId="2" borderId="3" xfId="65" applyFont="1" applyFill="1" applyBorder="1" applyAlignment="1" applyProtection="1">
      <alignment horizontal="left" vertical="center" wrapText="1"/>
    </xf>
    <xf numFmtId="0" fontId="3" fillId="2" borderId="3" xfId="53" applyFont="1" applyFill="1" applyBorder="1" applyAlignment="1" applyProtection="1">
      <alignment horizontal="center" vertical="center"/>
    </xf>
    <xf numFmtId="0" fontId="3" fillId="2" borderId="3" xfId="65" applyFont="1" applyFill="1" applyBorder="1" applyAlignment="1" applyProtection="1">
      <alignment horizontal="center" vertical="center"/>
    </xf>
    <xf numFmtId="0" fontId="3" fillId="2" borderId="6" xfId="65" applyFont="1" applyFill="1" applyBorder="1" applyAlignment="1" applyProtection="1">
      <alignment horizontal="center" vertical="center"/>
    </xf>
    <xf numFmtId="0" fontId="5" fillId="4" borderId="3" xfId="65" applyFont="1" applyFill="1" applyBorder="1" applyAlignment="1" applyProtection="1">
      <alignment horizontal="left" vertical="center" wrapText="1"/>
    </xf>
    <xf numFmtId="0" fontId="5" fillId="4" borderId="3" xfId="53" applyFont="1" applyFill="1" applyBorder="1" applyAlignment="1" applyProtection="1">
      <alignment horizontal="center" vertical="center"/>
    </xf>
    <xf numFmtId="0" fontId="5" fillId="4" borderId="3" xfId="65" applyFont="1" applyFill="1" applyBorder="1" applyAlignment="1" applyProtection="1">
      <alignment horizontal="center" vertical="center"/>
    </xf>
    <xf numFmtId="0" fontId="5" fillId="4" borderId="6" xfId="65" applyFont="1" applyFill="1" applyBorder="1" applyAlignment="1" applyProtection="1">
      <alignment horizontal="center" vertical="center"/>
    </xf>
    <xf numFmtId="0" fontId="3" fillId="5" borderId="3" xfId="65" applyFont="1" applyFill="1" applyBorder="1" applyAlignment="1" applyProtection="1">
      <alignment horizontal="left" vertical="center" wrapText="1"/>
    </xf>
    <xf numFmtId="0" fontId="3" fillId="5" borderId="3" xfId="53" applyFont="1" applyFill="1" applyBorder="1" applyAlignment="1" applyProtection="1">
      <alignment horizontal="center" vertical="center"/>
    </xf>
    <xf numFmtId="0" fontId="3" fillId="5" borderId="3" xfId="65" applyFont="1" applyFill="1" applyBorder="1" applyAlignment="1" applyProtection="1">
      <alignment horizontal="center" vertical="center"/>
    </xf>
    <xf numFmtId="0" fontId="3" fillId="5" borderId="6" xfId="65" applyFont="1" applyFill="1" applyBorder="1" applyAlignment="1" applyProtection="1">
      <alignment horizontal="center" vertical="center"/>
    </xf>
    <xf numFmtId="0" fontId="3" fillId="4" borderId="3" xfId="65" applyFont="1" applyFill="1" applyBorder="1" applyAlignment="1" applyProtection="1">
      <alignment horizontal="left" vertical="center" wrapText="1"/>
    </xf>
    <xf numFmtId="0" fontId="3" fillId="4" borderId="3" xfId="53" applyFont="1" applyFill="1" applyBorder="1" applyAlignment="1" applyProtection="1">
      <alignment horizontal="center" vertical="center"/>
    </xf>
    <xf numFmtId="0" fontId="3" fillId="4" borderId="3" xfId="65" applyFont="1" applyFill="1" applyBorder="1" applyAlignment="1" applyProtection="1">
      <alignment horizontal="center" vertical="center"/>
    </xf>
    <xf numFmtId="0" fontId="3" fillId="4" borderId="6" xfId="65" applyFont="1" applyFill="1" applyBorder="1" applyAlignment="1" applyProtection="1">
      <alignment horizontal="center" vertical="center"/>
    </xf>
    <xf numFmtId="0" fontId="3" fillId="0" borderId="3" xfId="65" applyFont="1" applyFill="1" applyBorder="1" applyAlignment="1" applyProtection="1">
      <alignment horizontal="left" vertical="center" wrapText="1"/>
    </xf>
    <xf numFmtId="0" fontId="3" fillId="0" borderId="3" xfId="53" applyFont="1" applyFill="1" applyBorder="1" applyAlignment="1" applyProtection="1">
      <alignment horizontal="center" vertical="center"/>
    </xf>
    <xf numFmtId="0" fontId="3" fillId="0" borderId="3" xfId="65" applyFont="1" applyFill="1" applyBorder="1" applyAlignment="1" applyProtection="1">
      <alignment horizontal="center" vertical="center"/>
    </xf>
    <xf numFmtId="0" fontId="3" fillId="0" borderId="6" xfId="65" applyFont="1" applyFill="1" applyBorder="1" applyAlignment="1" applyProtection="1">
      <alignment horizontal="center" vertical="center"/>
    </xf>
    <xf numFmtId="0" fontId="4" fillId="2" borderId="8" xfId="65" applyFont="1" applyFill="1" applyBorder="1" applyAlignment="1" applyProtection="1">
      <alignment horizontal="center" vertical="center" wrapText="1"/>
    </xf>
    <xf numFmtId="0" fontId="3" fillId="0" borderId="7" xfId="65" applyFont="1" applyFill="1" applyBorder="1" applyAlignment="1" applyProtection="1">
      <alignment horizontal="center" vertical="center"/>
    </xf>
    <xf numFmtId="0" fontId="4" fillId="2" borderId="3" xfId="72" applyFont="1" applyFill="1" applyBorder="1" applyAlignment="1" applyProtection="1">
      <alignment horizontal="center" vertical="center" wrapText="1"/>
    </xf>
    <xf numFmtId="0" fontId="4" fillId="4" borderId="3" xfId="72" applyFont="1" applyFill="1" applyBorder="1" applyAlignment="1" applyProtection="1">
      <alignment vertical="center" wrapText="1"/>
    </xf>
    <xf numFmtId="0" fontId="3" fillId="6" borderId="3" xfId="65" applyFont="1" applyFill="1" applyBorder="1" applyAlignment="1" applyProtection="1">
      <alignment horizontal="left" vertical="center" wrapText="1"/>
    </xf>
    <xf numFmtId="0" fontId="3" fillId="6" borderId="3" xfId="53" applyFont="1" applyFill="1" applyBorder="1" applyAlignment="1" applyProtection="1">
      <alignment horizontal="center" vertical="center"/>
    </xf>
    <xf numFmtId="0" fontId="3" fillId="6" borderId="3" xfId="65" applyFont="1" applyFill="1" applyBorder="1" applyAlignment="1" applyProtection="1">
      <alignment horizontal="center" vertical="center"/>
    </xf>
    <xf numFmtId="0" fontId="4" fillId="2" borderId="6" xfId="72" applyFont="1" applyFill="1" applyBorder="1" applyAlignment="1" applyProtection="1">
      <alignment horizontal="center" vertical="center" wrapText="1"/>
    </xf>
    <xf numFmtId="0" fontId="4" fillId="2" borderId="7" xfId="72" applyFont="1" applyFill="1" applyBorder="1" applyAlignment="1" applyProtection="1">
      <alignment horizontal="center" vertical="center" wrapText="1"/>
    </xf>
    <xf numFmtId="0" fontId="4" fillId="2" borderId="8" xfId="72" applyFont="1" applyFill="1" applyBorder="1" applyAlignment="1" applyProtection="1">
      <alignment horizontal="center" vertical="center" wrapText="1"/>
    </xf>
    <xf numFmtId="0" fontId="3" fillId="2" borderId="3" xfId="72" applyFont="1" applyFill="1" applyBorder="1" applyAlignment="1" applyProtection="1">
      <alignment horizontal="center" vertical="center" wrapText="1"/>
    </xf>
    <xf numFmtId="0" fontId="2" fillId="2" borderId="3" xfId="65" applyFont="1" applyFill="1" applyBorder="1" applyAlignment="1" applyProtection="1">
      <alignment horizontal="center" vertical="center" wrapText="1"/>
    </xf>
    <xf numFmtId="0" fontId="6" fillId="2" borderId="3" xfId="71" applyFont="1" applyFill="1" applyBorder="1" applyAlignment="1" applyProtection="1">
      <alignment horizontal="center" vertical="center"/>
    </xf>
    <xf numFmtId="0" fontId="2" fillId="2" borderId="3" xfId="55" applyFont="1" applyFill="1" applyBorder="1" applyAlignment="1" applyProtection="1">
      <alignment horizontal="center" vertical="center"/>
    </xf>
    <xf numFmtId="0" fontId="2" fillId="0" borderId="1" xfId="65" applyFont="1" applyFill="1" applyBorder="1" applyAlignment="1" applyProtection="1">
      <alignment horizontal="left" vertical="center"/>
    </xf>
    <xf numFmtId="0" fontId="2" fillId="0" borderId="2" xfId="65" applyFont="1" applyFill="1" applyBorder="1" applyAlignment="1" applyProtection="1">
      <alignment horizontal="left" vertical="center"/>
    </xf>
    <xf numFmtId="0" fontId="2" fillId="0" borderId="9" xfId="65" applyFont="1" applyFill="1" applyBorder="1" applyAlignment="1" applyProtection="1">
      <alignment horizontal="left" vertical="center"/>
    </xf>
    <xf numFmtId="0" fontId="3" fillId="0" borderId="1" xfId="65" applyFont="1" applyFill="1" applyBorder="1" applyAlignment="1" applyProtection="1">
      <alignment horizontal="left" vertical="center"/>
    </xf>
    <xf numFmtId="0" fontId="3" fillId="0" borderId="2" xfId="65" applyFont="1" applyFill="1" applyBorder="1" applyAlignment="1" applyProtection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2" fillId="2" borderId="3" xfId="67" applyFont="1" applyFill="1" applyBorder="1" applyAlignment="1" applyProtection="1">
      <alignment horizontal="center" vertical="center"/>
    </xf>
    <xf numFmtId="0" fontId="0" fillId="0" borderId="0" xfId="73" applyAlignment="1" applyProtection="1"/>
    <xf numFmtId="0" fontId="4" fillId="2" borderId="4" xfId="65" applyFont="1" applyFill="1" applyBorder="1" applyAlignment="1" applyProtection="1">
      <alignment horizontal="center" vertical="center" wrapText="1"/>
    </xf>
    <xf numFmtId="0" fontId="4" fillId="2" borderId="11" xfId="65" applyFont="1" applyFill="1" applyBorder="1" applyAlignment="1" applyProtection="1">
      <alignment horizontal="center" vertical="center" wrapText="1"/>
    </xf>
    <xf numFmtId="0" fontId="5" fillId="3" borderId="3" xfId="65" applyFont="1" applyFill="1" applyBorder="1" applyAlignment="1" applyProtection="1">
      <alignment horizontal="center" vertical="center"/>
    </xf>
    <xf numFmtId="0" fontId="3" fillId="3" borderId="3" xfId="51" applyFont="1" applyFill="1" applyBorder="1" applyAlignment="1" applyProtection="1">
      <alignment horizontal="center" vertical="center"/>
    </xf>
    <xf numFmtId="9" fontId="3" fillId="3" borderId="3" xfId="52" applyNumberFormat="1" applyFont="1" applyFill="1" applyBorder="1" applyAlignment="1" applyProtection="1">
      <alignment horizontal="center" vertical="center"/>
    </xf>
    <xf numFmtId="0" fontId="4" fillId="3" borderId="3" xfId="65" applyFont="1" applyFill="1" applyBorder="1" applyAlignment="1" applyProtection="1">
      <alignment horizontal="center" vertical="center" wrapText="1"/>
    </xf>
    <xf numFmtId="0" fontId="5" fillId="3" borderId="3" xfId="51" applyFont="1" applyFill="1" applyBorder="1" applyAlignment="1" applyProtection="1">
      <alignment horizontal="center" vertical="center"/>
    </xf>
    <xf numFmtId="0" fontId="5" fillId="3" borderId="6" xfId="51" applyFont="1" applyFill="1" applyBorder="1" applyAlignment="1" applyProtection="1">
      <alignment horizontal="center" vertical="center"/>
    </xf>
    <xf numFmtId="0" fontId="3" fillId="3" borderId="6" xfId="51" applyFont="1" applyFill="1" applyBorder="1" applyAlignment="1" applyProtection="1">
      <alignment horizontal="center" vertical="center"/>
    </xf>
    <xf numFmtId="9" fontId="3" fillId="3" borderId="6" xfId="52" applyNumberFormat="1" applyFont="1" applyFill="1" applyBorder="1" applyAlignment="1" applyProtection="1">
      <alignment horizontal="center" vertical="center"/>
    </xf>
    <xf numFmtId="0" fontId="5" fillId="2" borderId="6" xfId="51" applyFont="1" applyFill="1" applyBorder="1" applyAlignment="1" applyProtection="1">
      <alignment horizontal="center" vertical="center"/>
    </xf>
    <xf numFmtId="0" fontId="3" fillId="2" borderId="6" xfId="51" applyFont="1" applyFill="1" applyBorder="1" applyAlignment="1" applyProtection="1">
      <alignment horizontal="center" vertical="center"/>
    </xf>
    <xf numFmtId="9" fontId="3" fillId="2" borderId="6" xfId="52" applyNumberFormat="1" applyFont="1" applyFill="1" applyBorder="1" applyAlignment="1" applyProtection="1">
      <alignment horizontal="center" vertical="center"/>
    </xf>
    <xf numFmtId="0" fontId="5" fillId="4" borderId="6" xfId="51" applyFont="1" applyFill="1" applyBorder="1" applyAlignment="1" applyProtection="1">
      <alignment horizontal="center" vertical="center"/>
    </xf>
    <xf numFmtId="9" fontId="5" fillId="4" borderId="3" xfId="52" applyNumberFormat="1" applyFont="1" applyFill="1" applyBorder="1" applyAlignment="1" applyProtection="1">
      <alignment horizontal="center" vertical="center"/>
    </xf>
    <xf numFmtId="0" fontId="5" fillId="4" borderId="3" xfId="65" applyFont="1" applyFill="1" applyBorder="1" applyAlignment="1" applyProtection="1">
      <alignment horizontal="center" vertical="center" wrapText="1"/>
    </xf>
    <xf numFmtId="0" fontId="5" fillId="5" borderId="6" xfId="51" applyFont="1" applyFill="1" applyBorder="1" applyAlignment="1" applyProtection="1">
      <alignment horizontal="center" vertical="center"/>
    </xf>
    <xf numFmtId="0" fontId="3" fillId="5" borderId="6" xfId="51" applyFont="1" applyFill="1" applyBorder="1" applyAlignment="1" applyProtection="1">
      <alignment horizontal="center" vertical="center"/>
    </xf>
    <xf numFmtId="9" fontId="3" fillId="5" borderId="6" xfId="52" applyNumberFormat="1" applyFont="1" applyFill="1" applyBorder="1" applyAlignment="1" applyProtection="1">
      <alignment horizontal="center" vertical="center"/>
    </xf>
    <xf numFmtId="0" fontId="4" fillId="5" borderId="3" xfId="65" applyFont="1" applyFill="1" applyBorder="1" applyAlignment="1" applyProtection="1">
      <alignment horizontal="center" vertical="center" wrapText="1"/>
    </xf>
    <xf numFmtId="0" fontId="3" fillId="4" borderId="6" xfId="51" applyFont="1" applyFill="1" applyBorder="1" applyAlignment="1" applyProtection="1">
      <alignment horizontal="center" vertical="center"/>
    </xf>
    <xf numFmtId="9" fontId="3" fillId="4" borderId="6" xfId="52" applyNumberFormat="1" applyFont="1" applyFill="1" applyBorder="1" applyAlignment="1" applyProtection="1">
      <alignment horizontal="center" vertical="center"/>
    </xf>
    <xf numFmtId="0" fontId="4" fillId="4" borderId="3" xfId="65" applyFont="1" applyFill="1" applyBorder="1" applyAlignment="1" applyProtection="1">
      <alignment horizontal="center" vertical="center" wrapText="1"/>
    </xf>
    <xf numFmtId="0" fontId="5" fillId="0" borderId="6" xfId="51" applyFont="1" applyFill="1" applyBorder="1" applyAlignment="1" applyProtection="1">
      <alignment horizontal="center" vertical="center"/>
    </xf>
    <xf numFmtId="0" fontId="3" fillId="0" borderId="6" xfId="51" applyFont="1" applyFill="1" applyBorder="1" applyAlignment="1" applyProtection="1">
      <alignment horizontal="center" vertical="center"/>
    </xf>
    <xf numFmtId="9" fontId="3" fillId="0" borderId="6" xfId="52" applyNumberFormat="1" applyFont="1" applyFill="1" applyBorder="1" applyAlignment="1" applyProtection="1">
      <alignment horizontal="center" vertical="center"/>
    </xf>
    <xf numFmtId="0" fontId="4" fillId="0" borderId="3" xfId="65" applyFont="1" applyFill="1" applyBorder="1" applyAlignment="1" applyProtection="1">
      <alignment horizontal="center" vertical="center" wrapText="1"/>
    </xf>
    <xf numFmtId="0" fontId="5" fillId="4" borderId="3" xfId="51" applyFont="1" applyFill="1" applyBorder="1" applyAlignment="1" applyProtection="1">
      <alignment horizontal="center" vertical="center"/>
    </xf>
    <xf numFmtId="0" fontId="3" fillId="4" borderId="3" xfId="51" applyFont="1" applyFill="1" applyBorder="1" applyAlignment="1" applyProtection="1">
      <alignment horizontal="center" vertical="center"/>
    </xf>
    <xf numFmtId="0" fontId="5" fillId="0" borderId="7" xfId="51" applyFont="1" applyFill="1" applyBorder="1" applyAlignment="1" applyProtection="1">
      <alignment horizontal="center" vertical="center"/>
    </xf>
    <xf numFmtId="0" fontId="3" fillId="0" borderId="7" xfId="51" applyFont="1" applyFill="1" applyBorder="1" applyAlignment="1" applyProtection="1">
      <alignment horizontal="center" vertical="center"/>
    </xf>
    <xf numFmtId="9" fontId="3" fillId="0" borderId="7" xfId="52" applyNumberFormat="1" applyFont="1" applyFill="1" applyBorder="1" applyAlignment="1" applyProtection="1">
      <alignment horizontal="center" vertical="center"/>
    </xf>
    <xf numFmtId="0" fontId="5" fillId="2" borderId="3" xfId="51" applyFont="1" applyFill="1" applyBorder="1" applyAlignment="1" applyProtection="1">
      <alignment horizontal="center" vertical="center"/>
    </xf>
    <xf numFmtId="0" fontId="3" fillId="2" borderId="3" xfId="51" applyFont="1" applyFill="1" applyBorder="1" applyAlignment="1" applyProtection="1">
      <alignment horizontal="center" vertical="center"/>
    </xf>
    <xf numFmtId="0" fontId="5" fillId="5" borderId="3" xfId="51" applyFont="1" applyFill="1" applyBorder="1" applyAlignment="1" applyProtection="1">
      <alignment horizontal="center" vertical="center"/>
    </xf>
    <xf numFmtId="0" fontId="3" fillId="5" borderId="3" xfId="51" applyFont="1" applyFill="1" applyBorder="1" applyAlignment="1" applyProtection="1">
      <alignment horizontal="center" vertical="center"/>
    </xf>
    <xf numFmtId="0" fontId="4" fillId="5" borderId="8" xfId="65" applyFont="1" applyFill="1" applyBorder="1" applyAlignment="1" applyProtection="1">
      <alignment horizontal="center" vertical="center" wrapText="1"/>
    </xf>
    <xf numFmtId="0" fontId="5" fillId="6" borderId="3" xfId="51" applyFont="1" applyFill="1" applyBorder="1" applyAlignment="1" applyProtection="1">
      <alignment horizontal="center" vertical="center"/>
    </xf>
    <xf numFmtId="0" fontId="3" fillId="6" borderId="3" xfId="51" applyFont="1" applyFill="1" applyBorder="1" applyAlignment="1" applyProtection="1">
      <alignment horizontal="center" vertical="center"/>
    </xf>
    <xf numFmtId="9" fontId="3" fillId="6" borderId="6" xfId="52" applyNumberFormat="1" applyFont="1" applyFill="1" applyBorder="1" applyAlignment="1" applyProtection="1">
      <alignment horizontal="center" vertical="center"/>
    </xf>
    <xf numFmtId="0" fontId="4" fillId="6" borderId="8" xfId="65" applyFont="1" applyFill="1" applyBorder="1" applyAlignment="1" applyProtection="1">
      <alignment horizontal="center" vertical="center" wrapText="1"/>
    </xf>
    <xf numFmtId="0" fontId="4" fillId="4" borderId="8" xfId="65" applyFont="1" applyFill="1" applyBorder="1" applyAlignment="1" applyProtection="1">
      <alignment horizontal="center" vertical="center" wrapText="1"/>
    </xf>
    <xf numFmtId="0" fontId="0" fillId="3" borderId="0" xfId="73" applyFill="1" applyAlignment="1" applyProtection="1"/>
    <xf numFmtId="0" fontId="2" fillId="2" borderId="3" xfId="71" applyFont="1" applyFill="1" applyBorder="1" applyAlignment="1" applyProtection="1">
      <alignment horizontal="center" vertical="center"/>
    </xf>
    <xf numFmtId="0" fontId="3" fillId="2" borderId="3" xfId="71" applyFont="1" applyFill="1" applyBorder="1" applyAlignment="1" applyProtection="1">
      <alignment horizontal="center" vertical="center"/>
    </xf>
    <xf numFmtId="0" fontId="2" fillId="0" borderId="12" xfId="65" applyFont="1" applyFill="1" applyBorder="1" applyAlignment="1" applyProtection="1">
      <alignment horizontal="left" vertical="center"/>
    </xf>
    <xf numFmtId="0" fontId="3" fillId="0" borderId="10" xfId="65" applyFont="1" applyFill="1" applyBorder="1" applyAlignment="1" applyProtection="1">
      <alignment horizontal="left" vertical="center"/>
    </xf>
    <xf numFmtId="0" fontId="0" fillId="0" borderId="0" xfId="73" applyFill="1" applyAlignment="1" applyProtection="1"/>
  </cellXfs>
  <cellStyles count="7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20% - 强调文字颜色 2 45 6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20% - 强调文字颜色 5 2 15 2" xfId="20"/>
    <cellStyle name="20% - 强调文字颜色 5 2 20 2" xfId="21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 13" xfId="38"/>
    <cellStyle name="60% - 强调文字颜色 4 40 4 5" xfId="39"/>
    <cellStyle name="20% - 强调文字颜色 1" xfId="40" builtinId="30"/>
    <cellStyle name="计算 39 4 2 2" xfId="41"/>
    <cellStyle name="20% - 强调文字颜色 1 2 23 3" xfId="42"/>
    <cellStyle name="20% - 强调文字颜色 4 36 6" xfId="43"/>
    <cellStyle name="20% - 强调文字颜色 4 41 6" xfId="44"/>
    <cellStyle name="40% - 强调文字颜色 1" xfId="45" builtinId="31"/>
    <cellStyle name="20% - 强调文字颜色 2" xfId="46" builtinId="34"/>
    <cellStyle name="40% - 强调文字颜色 2" xfId="47" builtinId="35"/>
    <cellStyle name="强调文字颜色 3" xfId="48" builtinId="37"/>
    <cellStyle name="强调文字颜色 4" xfId="49" builtinId="41"/>
    <cellStyle name="20% - 强调文字颜色 4" xfId="50" builtinId="42"/>
    <cellStyle name="20% - 强调文字颜色 1 38 9 16" xfId="51"/>
    <cellStyle name="40% - 强调文字颜色 4" xfId="52" builtinId="43"/>
    <cellStyle name="20% - 强调文字颜色 1 2 37" xfId="53"/>
    <cellStyle name="20% - 强调文字颜色 1 26" xfId="54"/>
    <cellStyle name="强调文字颜色 5" xfId="55" builtinId="45"/>
    <cellStyle name="40% - 强调文字颜色 5" xfId="56" builtinId="47"/>
    <cellStyle name="60% - 强调文字颜色 5" xfId="57" builtinId="48"/>
    <cellStyle name="60% - 强调文字颜色 5 2 23 10" xfId="58"/>
    <cellStyle name="20% - 强调文字颜色 1 27" xfId="59"/>
    <cellStyle name="20% - 强调文字颜色 3 39 10 2" xfId="60"/>
    <cellStyle name="强调文字颜色 6" xfId="61" builtinId="49"/>
    <cellStyle name="40% - 强调文字颜色 6" xfId="62" builtinId="51"/>
    <cellStyle name="60% - 强调文字颜色 5 2 23 11" xfId="63"/>
    <cellStyle name="60% - 强调文字颜色 6" xfId="64" builtinId="52"/>
    <cellStyle name="20% - 强调文字颜色 1 2 21" xfId="65"/>
    <cellStyle name="40% - 强调文字颜色 3 35 2 2 2" xfId="66"/>
    <cellStyle name="标题 3 35 4" xfId="67"/>
    <cellStyle name="标题 3 39 3" xfId="68"/>
    <cellStyle name="标题 3 40 3 6" xfId="69"/>
    <cellStyle name="标题 41 25" xfId="70"/>
    <cellStyle name="标题 3 40 5 2" xfId="71"/>
    <cellStyle name="常规 2 2" xfId="72"/>
    <cellStyle name="常规 2 5" xfId="73"/>
    <cellStyle name="强调文字颜色 5 39 2 16" xfId="7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57"/>
  <sheetViews>
    <sheetView tabSelected="1" topLeftCell="EL1" workbookViewId="0">
      <selection activeCell="C5" sqref="C5:EO6"/>
    </sheetView>
  </sheetViews>
  <sheetFormatPr defaultColWidth="9" defaultRowHeight="14.25"/>
  <cols>
    <col min="1" max="1" width="3.5" customWidth="1"/>
    <col min="2" max="2" width="8.25" customWidth="1"/>
    <col min="3" max="3" width="12.875" customWidth="1"/>
    <col min="4" max="6" width="6.125" customWidth="1"/>
    <col min="7" max="11" width="8.5" customWidth="1"/>
    <col min="12" max="12" width="23" customWidth="1"/>
  </cols>
  <sheetData>
    <row r="1" ht="33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55"/>
    </row>
    <row r="2" ht="20.1" customHeight="1" spans="1:17">
      <c r="A2" s="3" t="s">
        <v>1</v>
      </c>
      <c r="B2" s="4"/>
      <c r="C2" s="4"/>
      <c r="D2" s="5" t="s">
        <v>2</v>
      </c>
      <c r="E2" s="6"/>
      <c r="F2" s="6"/>
      <c r="G2" s="6"/>
      <c r="H2" s="6"/>
      <c r="I2" s="6"/>
      <c r="J2" s="6"/>
      <c r="K2" s="6"/>
      <c r="L2" s="56" t="s">
        <v>3</v>
      </c>
      <c r="M2" s="57"/>
      <c r="N2" s="57"/>
      <c r="O2" s="57"/>
      <c r="P2" s="57"/>
      <c r="Q2" s="57"/>
    </row>
    <row r="3" ht="24" customHeight="1" spans="1:17">
      <c r="A3" s="7" t="s">
        <v>4</v>
      </c>
      <c r="B3" s="7" t="s">
        <v>5</v>
      </c>
      <c r="C3" s="7" t="s">
        <v>6</v>
      </c>
      <c r="D3" s="7" t="s">
        <v>7</v>
      </c>
      <c r="E3" s="8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58" t="s">
        <v>14</v>
      </c>
      <c r="L3" s="56"/>
      <c r="M3" s="57"/>
      <c r="N3" s="57"/>
      <c r="O3" s="57"/>
      <c r="P3" s="57"/>
      <c r="Q3" s="57"/>
    </row>
    <row r="4" ht="24.95" customHeight="1" spans="1:19">
      <c r="A4" s="9"/>
      <c r="B4" s="9"/>
      <c r="C4" s="9"/>
      <c r="D4" s="9"/>
      <c r="E4" s="10"/>
      <c r="F4" s="9"/>
      <c r="G4" s="9"/>
      <c r="H4" s="9"/>
      <c r="I4" s="9"/>
      <c r="J4" s="9"/>
      <c r="K4" s="59"/>
      <c r="L4" s="56"/>
      <c r="M4" s="57" t="s">
        <v>15</v>
      </c>
      <c r="N4" s="57" t="s">
        <v>16</v>
      </c>
      <c r="O4" s="57" t="s">
        <v>17</v>
      </c>
      <c r="P4" s="57"/>
      <c r="Q4" s="57"/>
      <c r="R4" s="57"/>
      <c r="S4" s="57"/>
    </row>
    <row r="5" ht="17.1" customHeight="1" spans="1:19">
      <c r="A5" s="11">
        <v>1</v>
      </c>
      <c r="B5" s="7" t="s">
        <v>18</v>
      </c>
      <c r="C5" s="12" t="s">
        <v>19</v>
      </c>
      <c r="D5" s="13" t="s">
        <v>20</v>
      </c>
      <c r="E5" s="14" t="s">
        <v>21</v>
      </c>
      <c r="F5" s="14">
        <v>2008</v>
      </c>
      <c r="G5" s="14">
        <v>10</v>
      </c>
      <c r="H5" s="14">
        <v>20</v>
      </c>
      <c r="I5" s="60">
        <v>1046</v>
      </c>
      <c r="J5" s="61">
        <v>993</v>
      </c>
      <c r="K5" s="62">
        <v>0.99</v>
      </c>
      <c r="L5" s="63" t="s">
        <v>22</v>
      </c>
      <c r="M5" s="57">
        <v>1046</v>
      </c>
      <c r="N5" s="57"/>
      <c r="O5" s="57"/>
      <c r="P5" s="57"/>
      <c r="Q5" s="57"/>
      <c r="R5" s="57"/>
      <c r="S5" s="57"/>
    </row>
    <row r="6" ht="17.1" customHeight="1" spans="1:19">
      <c r="A6" s="11">
        <v>2</v>
      </c>
      <c r="B6" s="9"/>
      <c r="C6" s="12" t="s">
        <v>23</v>
      </c>
      <c r="D6" s="13" t="s">
        <v>20</v>
      </c>
      <c r="E6" s="14" t="s">
        <v>21</v>
      </c>
      <c r="F6" s="14">
        <v>2010</v>
      </c>
      <c r="G6" s="14">
        <v>18</v>
      </c>
      <c r="H6" s="14">
        <v>35</v>
      </c>
      <c r="I6" s="64">
        <v>2540</v>
      </c>
      <c r="J6" s="61">
        <v>2345</v>
      </c>
      <c r="K6" s="62">
        <v>0.98</v>
      </c>
      <c r="L6" s="63" t="s">
        <v>24</v>
      </c>
      <c r="M6" s="57">
        <v>2540</v>
      </c>
      <c r="N6" s="57"/>
      <c r="O6" s="57"/>
      <c r="P6" s="57"/>
      <c r="Q6" s="57"/>
      <c r="R6" s="57"/>
      <c r="S6" s="57"/>
    </row>
    <row r="7" ht="17.1" customHeight="1" spans="1:19">
      <c r="A7" s="11">
        <v>3</v>
      </c>
      <c r="B7" s="9"/>
      <c r="C7" s="12" t="s">
        <v>25</v>
      </c>
      <c r="D7" s="13" t="s">
        <v>20</v>
      </c>
      <c r="E7" s="14" t="s">
        <v>26</v>
      </c>
      <c r="F7" s="15">
        <v>2017</v>
      </c>
      <c r="G7" s="15">
        <v>7</v>
      </c>
      <c r="H7" s="15">
        <v>21</v>
      </c>
      <c r="I7" s="65">
        <v>1300</v>
      </c>
      <c r="J7" s="66">
        <v>700</v>
      </c>
      <c r="K7" s="67">
        <v>0.65</v>
      </c>
      <c r="L7" s="63" t="s">
        <v>27</v>
      </c>
      <c r="M7" s="57">
        <v>1300</v>
      </c>
      <c r="N7" s="57"/>
      <c r="O7" s="57"/>
      <c r="P7" s="57"/>
      <c r="Q7" s="57"/>
      <c r="R7" s="57"/>
      <c r="S7" s="57"/>
    </row>
    <row r="8" ht="17.1" customHeight="1" spans="1:19">
      <c r="A8" s="11">
        <v>4</v>
      </c>
      <c r="B8" s="9"/>
      <c r="C8" s="16" t="s">
        <v>28</v>
      </c>
      <c r="D8" s="17" t="s">
        <v>29</v>
      </c>
      <c r="E8" s="18" t="s">
        <v>26</v>
      </c>
      <c r="F8" s="19">
        <v>2020</v>
      </c>
      <c r="G8" s="19"/>
      <c r="H8" s="19"/>
      <c r="I8" s="68">
        <v>500</v>
      </c>
      <c r="J8" s="69">
        <v>150</v>
      </c>
      <c r="K8" s="70">
        <v>0.3</v>
      </c>
      <c r="L8" s="11" t="s">
        <v>24</v>
      </c>
      <c r="M8" s="57"/>
      <c r="N8" s="57"/>
      <c r="O8" s="57"/>
      <c r="P8" s="57"/>
      <c r="Q8" s="57"/>
      <c r="R8" s="57"/>
      <c r="S8" s="57"/>
    </row>
    <row r="9" ht="17.1" customHeight="1" spans="1:19">
      <c r="A9" s="11">
        <v>5</v>
      </c>
      <c r="B9" s="9"/>
      <c r="C9" s="16" t="s">
        <v>30</v>
      </c>
      <c r="D9" s="17" t="s">
        <v>20</v>
      </c>
      <c r="E9" s="18" t="s">
        <v>21</v>
      </c>
      <c r="F9" s="19">
        <v>2019</v>
      </c>
      <c r="G9" s="19">
        <v>11</v>
      </c>
      <c r="H9" s="19">
        <v>22</v>
      </c>
      <c r="I9" s="68">
        <v>1050</v>
      </c>
      <c r="J9" s="69">
        <v>510</v>
      </c>
      <c r="K9" s="70">
        <v>0.5</v>
      </c>
      <c r="L9" s="11" t="s">
        <v>27</v>
      </c>
      <c r="M9" s="57"/>
      <c r="N9" s="57"/>
      <c r="O9" s="57"/>
      <c r="P9" s="57"/>
      <c r="Q9" s="57"/>
      <c r="R9" s="105"/>
      <c r="S9" s="57"/>
    </row>
    <row r="10" ht="17.1" customHeight="1" spans="1:19">
      <c r="A10" s="11">
        <v>6</v>
      </c>
      <c r="B10" s="9"/>
      <c r="C10" s="16" t="s">
        <v>31</v>
      </c>
      <c r="D10" s="17" t="s">
        <v>20</v>
      </c>
      <c r="E10" s="18" t="s">
        <v>32</v>
      </c>
      <c r="F10" s="19">
        <v>2019</v>
      </c>
      <c r="G10" s="19">
        <v>11</v>
      </c>
      <c r="H10" s="19">
        <v>22</v>
      </c>
      <c r="I10" s="68">
        <v>1300</v>
      </c>
      <c r="J10" s="69">
        <v>600</v>
      </c>
      <c r="K10" s="70">
        <v>0.5</v>
      </c>
      <c r="L10" s="11" t="s">
        <v>24</v>
      </c>
      <c r="M10" s="57"/>
      <c r="N10" s="57"/>
      <c r="O10" s="57"/>
      <c r="P10" s="57"/>
      <c r="Q10" s="57"/>
      <c r="R10" s="57"/>
      <c r="S10" s="57"/>
    </row>
    <row r="11" ht="17.1" customHeight="1" spans="1:19">
      <c r="A11" s="11">
        <v>7</v>
      </c>
      <c r="B11" s="9"/>
      <c r="C11" s="20" t="s">
        <v>33</v>
      </c>
      <c r="D11" s="21" t="s">
        <v>20</v>
      </c>
      <c r="E11" s="22" t="s">
        <v>26</v>
      </c>
      <c r="F11" s="23">
        <v>2015</v>
      </c>
      <c r="G11" s="23">
        <v>2</v>
      </c>
      <c r="H11" s="23">
        <v>4</v>
      </c>
      <c r="I11" s="71">
        <v>351</v>
      </c>
      <c r="J11" s="71">
        <v>346</v>
      </c>
      <c r="K11" s="72">
        <v>0.98</v>
      </c>
      <c r="L11" s="73" t="s">
        <v>27</v>
      </c>
      <c r="M11" s="57"/>
      <c r="N11" s="57">
        <v>351</v>
      </c>
      <c r="O11" s="57"/>
      <c r="P11" s="57"/>
      <c r="Q11" s="57">
        <v>2</v>
      </c>
      <c r="R11" s="57"/>
      <c r="S11" s="57"/>
    </row>
    <row r="12" ht="17.1" customHeight="1" spans="1:19">
      <c r="A12" s="11">
        <v>8</v>
      </c>
      <c r="B12" s="9"/>
      <c r="C12" s="24" t="s">
        <v>34</v>
      </c>
      <c r="D12" s="25" t="s">
        <v>29</v>
      </c>
      <c r="E12" s="26" t="s">
        <v>26</v>
      </c>
      <c r="F12" s="27">
        <v>2018</v>
      </c>
      <c r="G12" s="27">
        <v>7</v>
      </c>
      <c r="H12" s="27">
        <v>11</v>
      </c>
      <c r="I12" s="74">
        <v>420</v>
      </c>
      <c r="J12" s="75">
        <v>400</v>
      </c>
      <c r="K12" s="76">
        <f>J12/I12</f>
        <v>0.952380952380952</v>
      </c>
      <c r="L12" s="77" t="s">
        <v>24</v>
      </c>
      <c r="M12" s="57"/>
      <c r="N12" s="57"/>
      <c r="O12" s="57">
        <v>420</v>
      </c>
      <c r="P12" s="57"/>
      <c r="Q12" s="57"/>
      <c r="R12" s="57"/>
      <c r="S12" s="57"/>
    </row>
    <row r="13" ht="17.1" customHeight="1" spans="1:19">
      <c r="A13" s="11">
        <v>9</v>
      </c>
      <c r="B13" s="7" t="s">
        <v>35</v>
      </c>
      <c r="C13" s="28" t="s">
        <v>36</v>
      </c>
      <c r="D13" s="29" t="s">
        <v>20</v>
      </c>
      <c r="E13" s="30" t="s">
        <v>26</v>
      </c>
      <c r="F13" s="31">
        <v>2014</v>
      </c>
      <c r="G13" s="31">
        <v>2</v>
      </c>
      <c r="H13" s="31">
        <v>9</v>
      </c>
      <c r="I13" s="71">
        <v>250</v>
      </c>
      <c r="J13" s="78">
        <v>240</v>
      </c>
      <c r="K13" s="79">
        <v>0.95</v>
      </c>
      <c r="L13" s="80" t="s">
        <v>27</v>
      </c>
      <c r="M13" s="57"/>
      <c r="N13" s="57">
        <v>250</v>
      </c>
      <c r="O13" s="57"/>
      <c r="P13" s="57"/>
      <c r="Q13" s="57"/>
      <c r="R13" s="57"/>
      <c r="S13" s="57"/>
    </row>
    <row r="14" ht="17.1" customHeight="1" spans="1:19">
      <c r="A14" s="11">
        <v>10</v>
      </c>
      <c r="B14" s="9"/>
      <c r="C14" s="32" t="s">
        <v>37</v>
      </c>
      <c r="D14" s="33" t="s">
        <v>29</v>
      </c>
      <c r="E14" s="34" t="s">
        <v>26</v>
      </c>
      <c r="F14" s="35">
        <v>2014</v>
      </c>
      <c r="G14" s="35">
        <v>3</v>
      </c>
      <c r="H14" s="35">
        <v>8</v>
      </c>
      <c r="I14" s="81">
        <v>196</v>
      </c>
      <c r="J14" s="82">
        <v>185</v>
      </c>
      <c r="K14" s="83">
        <v>0.95</v>
      </c>
      <c r="L14" s="84" t="s">
        <v>27</v>
      </c>
      <c r="M14" s="57"/>
      <c r="N14" s="57"/>
      <c r="O14" s="57"/>
      <c r="P14" s="57"/>
      <c r="Q14" s="57"/>
      <c r="R14" s="57"/>
      <c r="S14" s="57"/>
    </row>
    <row r="15" ht="17.1" customHeight="1" spans="1:19">
      <c r="A15" s="11">
        <v>11</v>
      </c>
      <c r="B15" s="9"/>
      <c r="C15" s="16" t="s">
        <v>38</v>
      </c>
      <c r="D15" s="17" t="s">
        <v>20</v>
      </c>
      <c r="E15" s="18" t="s">
        <v>21</v>
      </c>
      <c r="F15" s="19">
        <v>2019</v>
      </c>
      <c r="G15" s="19"/>
      <c r="H15" s="19"/>
      <c r="I15" s="68"/>
      <c r="J15" s="69"/>
      <c r="K15" s="70"/>
      <c r="L15" s="11" t="s">
        <v>24</v>
      </c>
      <c r="M15" s="57"/>
      <c r="N15" s="57"/>
      <c r="O15" s="57"/>
      <c r="P15" s="57"/>
      <c r="Q15" s="57"/>
      <c r="R15" s="57"/>
      <c r="S15" s="57"/>
    </row>
    <row r="16" ht="17.1" customHeight="1" spans="1:19">
      <c r="A16" s="11">
        <v>12</v>
      </c>
      <c r="B16" s="7" t="s">
        <v>39</v>
      </c>
      <c r="C16" s="16" t="s">
        <v>40</v>
      </c>
      <c r="D16" s="17" t="s">
        <v>20</v>
      </c>
      <c r="E16" s="18" t="s">
        <v>26</v>
      </c>
      <c r="F16" s="19">
        <v>2019</v>
      </c>
      <c r="G16" s="19">
        <v>12</v>
      </c>
      <c r="H16" s="19">
        <v>22</v>
      </c>
      <c r="I16" s="68">
        <v>1210</v>
      </c>
      <c r="J16" s="69">
        <v>356</v>
      </c>
      <c r="K16" s="70">
        <v>0.4</v>
      </c>
      <c r="L16" s="11" t="s">
        <v>41</v>
      </c>
      <c r="M16" s="57"/>
      <c r="N16" s="57"/>
      <c r="O16" s="57"/>
      <c r="P16" s="57"/>
      <c r="Q16" s="57"/>
      <c r="R16" s="57"/>
      <c r="S16" s="57"/>
    </row>
    <row r="17" ht="17.1" customHeight="1" spans="1:19">
      <c r="A17" s="11">
        <v>13</v>
      </c>
      <c r="B17" s="9"/>
      <c r="C17" s="24" t="s">
        <v>42</v>
      </c>
      <c r="D17" s="25" t="s">
        <v>20</v>
      </c>
      <c r="E17" s="26" t="s">
        <v>26</v>
      </c>
      <c r="F17" s="27">
        <v>2018</v>
      </c>
      <c r="G17" s="27">
        <v>6</v>
      </c>
      <c r="H17" s="27">
        <v>16</v>
      </c>
      <c r="I17" s="74">
        <v>386</v>
      </c>
      <c r="J17" s="75">
        <v>297</v>
      </c>
      <c r="K17" s="76">
        <v>0.85</v>
      </c>
      <c r="L17" s="77" t="s">
        <v>41</v>
      </c>
      <c r="M17" s="57"/>
      <c r="N17" s="57"/>
      <c r="O17" s="57">
        <v>386</v>
      </c>
      <c r="P17" s="57"/>
      <c r="Q17" s="57"/>
      <c r="R17" s="57"/>
      <c r="S17" s="57"/>
    </row>
    <row r="18" ht="17.1" customHeight="1" spans="1:19">
      <c r="A18" s="11">
        <v>14</v>
      </c>
      <c r="B18" s="36"/>
      <c r="C18" s="32" t="s">
        <v>43</v>
      </c>
      <c r="D18" s="33" t="s">
        <v>20</v>
      </c>
      <c r="E18" s="34" t="s">
        <v>21</v>
      </c>
      <c r="F18" s="35">
        <v>2000</v>
      </c>
      <c r="G18" s="35">
        <v>40</v>
      </c>
      <c r="H18" s="35">
        <v>91</v>
      </c>
      <c r="I18" s="81">
        <v>1094</v>
      </c>
      <c r="J18" s="82">
        <v>1080</v>
      </c>
      <c r="K18" s="83">
        <v>0.99</v>
      </c>
      <c r="L18" s="84" t="s">
        <v>27</v>
      </c>
      <c r="M18" s="57"/>
      <c r="N18" s="57"/>
      <c r="O18" s="57"/>
      <c r="P18" s="57"/>
      <c r="Q18" s="57"/>
      <c r="R18" s="57"/>
      <c r="S18" s="57"/>
    </row>
    <row r="19" ht="17.1" customHeight="1" spans="1:19">
      <c r="A19" s="11">
        <v>15</v>
      </c>
      <c r="B19" s="7" t="s">
        <v>44</v>
      </c>
      <c r="C19" s="28" t="s">
        <v>45</v>
      </c>
      <c r="D19" s="29" t="s">
        <v>20</v>
      </c>
      <c r="E19" s="30"/>
      <c r="F19" s="31">
        <v>2015</v>
      </c>
      <c r="G19" s="31">
        <v>11</v>
      </c>
      <c r="H19" s="31"/>
      <c r="I19" s="71">
        <v>1100</v>
      </c>
      <c r="J19" s="78">
        <v>830</v>
      </c>
      <c r="K19" s="79">
        <v>0.8</v>
      </c>
      <c r="L19" s="80" t="s">
        <v>24</v>
      </c>
      <c r="M19" s="57"/>
      <c r="N19" s="57">
        <v>1100</v>
      </c>
      <c r="O19" s="57"/>
      <c r="P19" s="57"/>
      <c r="Q19" s="57">
        <v>11</v>
      </c>
      <c r="R19" s="57"/>
      <c r="S19" s="57"/>
    </row>
    <row r="20" ht="17.1" customHeight="1" spans="1:19">
      <c r="A20" s="11">
        <v>16</v>
      </c>
      <c r="B20" s="9"/>
      <c r="C20" s="28" t="s">
        <v>46</v>
      </c>
      <c r="D20" s="29" t="s">
        <v>20</v>
      </c>
      <c r="E20" s="30" t="s">
        <v>21</v>
      </c>
      <c r="F20" s="30">
        <v>2015</v>
      </c>
      <c r="G20" s="30"/>
      <c r="H20" s="30">
        <v>23</v>
      </c>
      <c r="I20" s="85">
        <v>2300</v>
      </c>
      <c r="J20" s="86">
        <v>2030</v>
      </c>
      <c r="K20" s="79">
        <v>0.88</v>
      </c>
      <c r="L20" s="80" t="s">
        <v>24</v>
      </c>
      <c r="M20" s="57"/>
      <c r="N20" s="57">
        <v>2300</v>
      </c>
      <c r="O20" s="57"/>
      <c r="P20" s="57"/>
      <c r="Q20" s="57">
        <v>23</v>
      </c>
      <c r="R20" s="57"/>
      <c r="S20" s="57"/>
    </row>
    <row r="21" ht="17.1" customHeight="1" spans="1:19">
      <c r="A21" s="11">
        <v>17</v>
      </c>
      <c r="B21" s="9"/>
      <c r="C21" s="12" t="s">
        <v>47</v>
      </c>
      <c r="D21" s="13" t="s">
        <v>20</v>
      </c>
      <c r="E21" s="14" t="s">
        <v>21</v>
      </c>
      <c r="F21" s="15">
        <v>2014</v>
      </c>
      <c r="G21" s="15"/>
      <c r="H21" s="15">
        <v>28</v>
      </c>
      <c r="I21" s="65">
        <v>2288</v>
      </c>
      <c r="J21" s="66">
        <v>1750</v>
      </c>
      <c r="K21" s="67">
        <v>0.76</v>
      </c>
      <c r="L21" s="63" t="s">
        <v>41</v>
      </c>
      <c r="M21" s="57">
        <v>2288</v>
      </c>
      <c r="N21" s="57"/>
      <c r="O21" s="57"/>
      <c r="P21" s="57"/>
      <c r="Q21" s="57"/>
      <c r="R21" s="57"/>
      <c r="S21" s="57"/>
    </row>
    <row r="22" ht="17.1" customHeight="1" spans="1:19">
      <c r="A22" s="11">
        <v>18</v>
      </c>
      <c r="B22" s="9"/>
      <c r="C22" s="24" t="s">
        <v>48</v>
      </c>
      <c r="D22" s="25" t="s">
        <v>20</v>
      </c>
      <c r="E22" s="26" t="s">
        <v>26</v>
      </c>
      <c r="F22" s="27">
        <v>2017</v>
      </c>
      <c r="G22" s="27"/>
      <c r="H22" s="27"/>
      <c r="I22" s="74">
        <v>1044</v>
      </c>
      <c r="J22" s="75">
        <v>805</v>
      </c>
      <c r="K22" s="76">
        <v>0.8</v>
      </c>
      <c r="L22" s="77" t="s">
        <v>49</v>
      </c>
      <c r="M22" s="57"/>
      <c r="N22" s="57"/>
      <c r="O22" s="57">
        <v>1044</v>
      </c>
      <c r="P22" s="57"/>
      <c r="Q22" s="57"/>
      <c r="R22" s="57"/>
      <c r="S22" s="57"/>
    </row>
    <row r="23" ht="17.1" customHeight="1" spans="1:19">
      <c r="A23" s="11">
        <v>19</v>
      </c>
      <c r="B23" s="9"/>
      <c r="C23" s="32" t="s">
        <v>50</v>
      </c>
      <c r="D23" s="33" t="s">
        <v>29</v>
      </c>
      <c r="E23" s="34" t="s">
        <v>21</v>
      </c>
      <c r="F23" s="35">
        <v>2019</v>
      </c>
      <c r="G23" s="35">
        <v>14</v>
      </c>
      <c r="H23" s="35"/>
      <c r="I23" s="81">
        <v>1477</v>
      </c>
      <c r="J23" s="82">
        <v>600</v>
      </c>
      <c r="K23" s="83">
        <v>0.41</v>
      </c>
      <c r="L23" s="84" t="s">
        <v>24</v>
      </c>
      <c r="M23" s="57"/>
      <c r="N23" s="57"/>
      <c r="O23" s="57"/>
      <c r="P23" s="57"/>
      <c r="Q23" s="57"/>
      <c r="R23" s="57"/>
      <c r="S23" s="57"/>
    </row>
    <row r="24" ht="17.1" customHeight="1" spans="1:19">
      <c r="A24" s="11">
        <v>20</v>
      </c>
      <c r="B24" s="36"/>
      <c r="C24" s="32" t="s">
        <v>51</v>
      </c>
      <c r="D24" s="33" t="s">
        <v>29</v>
      </c>
      <c r="E24" s="34" t="s">
        <v>21</v>
      </c>
      <c r="F24" s="35">
        <v>2029</v>
      </c>
      <c r="G24" s="37"/>
      <c r="H24" s="35"/>
      <c r="I24" s="87"/>
      <c r="J24" s="88"/>
      <c r="K24" s="89"/>
      <c r="L24" s="84" t="s">
        <v>24</v>
      </c>
      <c r="M24" s="57"/>
      <c r="N24" s="57"/>
      <c r="O24" s="57"/>
      <c r="P24" s="57"/>
      <c r="Q24" s="57"/>
      <c r="R24" s="57"/>
      <c r="S24" s="57"/>
    </row>
    <row r="25" ht="17.1" customHeight="1" spans="1:19">
      <c r="A25" s="11">
        <v>21</v>
      </c>
      <c r="B25" s="38" t="s">
        <v>52</v>
      </c>
      <c r="C25" s="24" t="s">
        <v>53</v>
      </c>
      <c r="D25" s="25" t="s">
        <v>20</v>
      </c>
      <c r="E25" s="26" t="s">
        <v>21</v>
      </c>
      <c r="F25" s="27">
        <v>2016</v>
      </c>
      <c r="G25" s="27">
        <v>11</v>
      </c>
      <c r="H25" s="27">
        <v>22</v>
      </c>
      <c r="I25" s="74">
        <v>980</v>
      </c>
      <c r="J25" s="75">
        <v>630</v>
      </c>
      <c r="K25" s="76">
        <v>0.65</v>
      </c>
      <c r="L25" s="77" t="s">
        <v>27</v>
      </c>
      <c r="M25" s="57"/>
      <c r="N25" s="57"/>
      <c r="O25" s="57">
        <v>980</v>
      </c>
      <c r="P25" s="57"/>
      <c r="Q25" s="57"/>
      <c r="R25" s="57"/>
      <c r="S25" s="57"/>
    </row>
    <row r="26" ht="17.1" customHeight="1" spans="1:19">
      <c r="A26" s="11">
        <v>22</v>
      </c>
      <c r="B26" s="38"/>
      <c r="C26" s="24" t="s">
        <v>54</v>
      </c>
      <c r="D26" s="25" t="s">
        <v>20</v>
      </c>
      <c r="E26" s="26" t="s">
        <v>21</v>
      </c>
      <c r="F26" s="27">
        <v>2017</v>
      </c>
      <c r="G26" s="27">
        <v>14</v>
      </c>
      <c r="H26" s="27">
        <v>28</v>
      </c>
      <c r="I26" s="74">
        <v>1600</v>
      </c>
      <c r="J26" s="75">
        <v>500</v>
      </c>
      <c r="K26" s="76">
        <v>0.3</v>
      </c>
      <c r="L26" s="77" t="s">
        <v>24</v>
      </c>
      <c r="M26" s="57"/>
      <c r="N26" s="57"/>
      <c r="O26" s="57">
        <v>1600</v>
      </c>
      <c r="P26" s="57"/>
      <c r="Q26" s="57"/>
      <c r="R26" s="57"/>
      <c r="S26" s="57"/>
    </row>
    <row r="27" ht="17.1" customHeight="1" spans="1:19">
      <c r="A27" s="11"/>
      <c r="B27" s="38"/>
      <c r="C27" s="24" t="s">
        <v>55</v>
      </c>
      <c r="D27" s="25" t="s">
        <v>20</v>
      </c>
      <c r="E27" s="26" t="s">
        <v>26</v>
      </c>
      <c r="F27" s="27"/>
      <c r="G27" s="27"/>
      <c r="H27" s="27">
        <v>3</v>
      </c>
      <c r="I27" s="74">
        <v>180</v>
      </c>
      <c r="J27" s="75">
        <v>160</v>
      </c>
      <c r="K27" s="76">
        <v>0.88</v>
      </c>
      <c r="L27" s="77"/>
      <c r="M27" s="57"/>
      <c r="N27" s="57"/>
      <c r="O27" s="57">
        <v>180</v>
      </c>
      <c r="P27" s="57"/>
      <c r="Q27" s="57"/>
      <c r="R27" s="57"/>
      <c r="S27" s="57"/>
    </row>
    <row r="28" ht="18" customHeight="1" spans="1:18">
      <c r="A28" s="11">
        <v>23</v>
      </c>
      <c r="B28" s="38"/>
      <c r="C28" s="24" t="s">
        <v>56</v>
      </c>
      <c r="D28" s="25" t="s">
        <v>20</v>
      </c>
      <c r="E28" s="26" t="s">
        <v>26</v>
      </c>
      <c r="F28" s="27">
        <v>2017</v>
      </c>
      <c r="G28" s="27">
        <v>2</v>
      </c>
      <c r="H28" s="27">
        <v>6</v>
      </c>
      <c r="I28" s="74">
        <v>200</v>
      </c>
      <c r="J28" s="75">
        <v>180</v>
      </c>
      <c r="K28" s="76">
        <v>0.9</v>
      </c>
      <c r="L28" s="77" t="s">
        <v>24</v>
      </c>
      <c r="M28" s="57"/>
      <c r="N28" s="57"/>
      <c r="O28" s="57">
        <v>200</v>
      </c>
      <c r="P28" s="57"/>
      <c r="Q28" s="57"/>
      <c r="R28" s="57"/>
    </row>
    <row r="29" ht="17.1" customHeight="1" spans="1:18">
      <c r="A29" s="11">
        <v>24</v>
      </c>
      <c r="B29" s="38"/>
      <c r="C29" s="28" t="s">
        <v>57</v>
      </c>
      <c r="D29" s="29" t="s">
        <v>20</v>
      </c>
      <c r="E29" s="30" t="s">
        <v>21</v>
      </c>
      <c r="F29" s="30">
        <v>2012</v>
      </c>
      <c r="G29" s="30"/>
      <c r="H29" s="30">
        <v>27</v>
      </c>
      <c r="I29" s="85">
        <v>1630</v>
      </c>
      <c r="J29" s="86">
        <v>855</v>
      </c>
      <c r="K29" s="79">
        <v>0.9</v>
      </c>
      <c r="L29" s="80" t="s">
        <v>49</v>
      </c>
      <c r="M29" s="57"/>
      <c r="N29" s="57">
        <v>1630</v>
      </c>
      <c r="O29" s="57"/>
      <c r="P29" s="57"/>
      <c r="Q29" s="57"/>
      <c r="R29" s="57"/>
    </row>
    <row r="30" ht="17.1" customHeight="1" spans="1:18">
      <c r="A30" s="11">
        <v>25</v>
      </c>
      <c r="B30" s="38" t="s">
        <v>58</v>
      </c>
      <c r="C30" s="39" t="s">
        <v>59</v>
      </c>
      <c r="D30" s="29" t="s">
        <v>20</v>
      </c>
      <c r="E30" s="30" t="s">
        <v>21</v>
      </c>
      <c r="F30" s="30">
        <v>2015</v>
      </c>
      <c r="G30" s="30">
        <v>7</v>
      </c>
      <c r="H30" s="30">
        <v>10</v>
      </c>
      <c r="I30" s="85">
        <v>953</v>
      </c>
      <c r="J30" s="86">
        <v>760</v>
      </c>
      <c r="K30" s="79">
        <v>0.8</v>
      </c>
      <c r="L30" s="80" t="s">
        <v>49</v>
      </c>
      <c r="M30" s="57"/>
      <c r="N30" s="57">
        <v>953</v>
      </c>
      <c r="O30" s="57"/>
      <c r="P30" s="57"/>
      <c r="Q30" s="57">
        <v>10</v>
      </c>
      <c r="R30" s="57"/>
    </row>
    <row r="31" ht="17.1" customHeight="1" spans="1:18">
      <c r="A31" s="11">
        <v>26</v>
      </c>
      <c r="B31" s="38"/>
      <c r="C31" s="16" t="s">
        <v>60</v>
      </c>
      <c r="D31" s="17" t="s">
        <v>20</v>
      </c>
      <c r="E31" s="18" t="s">
        <v>21</v>
      </c>
      <c r="F31" s="18">
        <v>2015</v>
      </c>
      <c r="G31" s="18"/>
      <c r="H31" s="18"/>
      <c r="I31" s="90">
        <v>953</v>
      </c>
      <c r="J31" s="91">
        <v>760</v>
      </c>
      <c r="K31" s="70">
        <v>0.8</v>
      </c>
      <c r="L31" s="36" t="s">
        <v>27</v>
      </c>
      <c r="M31" s="57"/>
      <c r="N31" s="57"/>
      <c r="O31" s="57"/>
      <c r="P31" s="57"/>
      <c r="Q31" s="57"/>
      <c r="R31" s="57"/>
    </row>
    <row r="32" ht="17.1" customHeight="1" spans="1:18">
      <c r="A32" s="11">
        <v>27</v>
      </c>
      <c r="B32" s="38"/>
      <c r="C32" s="24" t="s">
        <v>61</v>
      </c>
      <c r="D32" s="25" t="s">
        <v>20</v>
      </c>
      <c r="E32" s="26" t="s">
        <v>21</v>
      </c>
      <c r="F32" s="26">
        <v>2015</v>
      </c>
      <c r="G32" s="26">
        <v>4</v>
      </c>
      <c r="H32" s="26">
        <v>7</v>
      </c>
      <c r="I32" s="92">
        <v>1391</v>
      </c>
      <c r="J32" s="93">
        <v>600</v>
      </c>
      <c r="K32" s="76">
        <v>0.43</v>
      </c>
      <c r="L32" s="94" t="s">
        <v>27</v>
      </c>
      <c r="M32" s="57"/>
      <c r="N32" s="57"/>
      <c r="O32" s="57">
        <v>1391</v>
      </c>
      <c r="P32" s="57"/>
      <c r="Q32" s="57"/>
      <c r="R32" s="57"/>
    </row>
    <row r="33" ht="17.1" customHeight="1" spans="1:18">
      <c r="A33" s="11">
        <v>28</v>
      </c>
      <c r="B33" s="38"/>
      <c r="C33" s="24" t="s">
        <v>62</v>
      </c>
      <c r="D33" s="25" t="s">
        <v>20</v>
      </c>
      <c r="E33" s="26" t="s">
        <v>21</v>
      </c>
      <c r="F33" s="26">
        <v>2015</v>
      </c>
      <c r="G33" s="26">
        <v>4</v>
      </c>
      <c r="H33" s="26">
        <v>7</v>
      </c>
      <c r="I33" s="92">
        <v>1391</v>
      </c>
      <c r="J33" s="93">
        <v>600</v>
      </c>
      <c r="K33" s="76">
        <v>0.43</v>
      </c>
      <c r="L33" s="94" t="s">
        <v>27</v>
      </c>
      <c r="M33" s="57"/>
      <c r="N33" s="57"/>
      <c r="O33" s="57">
        <v>1391</v>
      </c>
      <c r="P33" s="57"/>
      <c r="Q33" s="57"/>
      <c r="R33" s="57"/>
    </row>
    <row r="34" ht="17.1" customHeight="1" spans="1:18">
      <c r="A34" s="11">
        <v>29</v>
      </c>
      <c r="B34" s="38" t="s">
        <v>63</v>
      </c>
      <c r="C34" s="40" t="s">
        <v>64</v>
      </c>
      <c r="D34" s="41" t="s">
        <v>20</v>
      </c>
      <c r="E34" s="42" t="s">
        <v>26</v>
      </c>
      <c r="F34" s="42">
        <v>2013</v>
      </c>
      <c r="G34" s="42">
        <v>4</v>
      </c>
      <c r="H34" s="42">
        <v>6</v>
      </c>
      <c r="I34" s="95">
        <v>800</v>
      </c>
      <c r="J34" s="96">
        <v>600</v>
      </c>
      <c r="K34" s="97">
        <v>0.75</v>
      </c>
      <c r="L34" s="98" t="s">
        <v>24</v>
      </c>
      <c r="M34" s="57"/>
      <c r="N34" s="57">
        <v>800</v>
      </c>
      <c r="O34" s="57"/>
      <c r="P34" s="57"/>
      <c r="Q34" s="57">
        <v>6</v>
      </c>
      <c r="R34" s="57"/>
    </row>
    <row r="35" ht="17.1" customHeight="1" spans="1:18">
      <c r="A35" s="11">
        <v>30</v>
      </c>
      <c r="B35" s="38"/>
      <c r="C35" s="24" t="s">
        <v>65</v>
      </c>
      <c r="D35" s="25" t="s">
        <v>20</v>
      </c>
      <c r="E35" s="26" t="s">
        <v>21</v>
      </c>
      <c r="F35" s="26">
        <v>2017</v>
      </c>
      <c r="G35" s="26">
        <v>1</v>
      </c>
      <c r="H35" s="26">
        <v>3</v>
      </c>
      <c r="I35" s="92">
        <v>366</v>
      </c>
      <c r="J35" s="93">
        <v>360</v>
      </c>
      <c r="K35" s="76">
        <v>0.71</v>
      </c>
      <c r="L35" s="94" t="s">
        <v>24</v>
      </c>
      <c r="M35" s="57"/>
      <c r="N35" s="57"/>
      <c r="O35" s="57">
        <v>366</v>
      </c>
      <c r="P35" s="57"/>
      <c r="Q35" s="57"/>
      <c r="R35" s="57"/>
    </row>
    <row r="36" ht="17.1" customHeight="1" spans="1:18">
      <c r="A36" s="11">
        <v>31</v>
      </c>
      <c r="B36" s="38"/>
      <c r="C36" s="16" t="s">
        <v>66</v>
      </c>
      <c r="D36" s="17" t="s">
        <v>20</v>
      </c>
      <c r="E36" s="18" t="s">
        <v>21</v>
      </c>
      <c r="F36" s="18">
        <v>2021</v>
      </c>
      <c r="G36" s="18"/>
      <c r="H36" s="18"/>
      <c r="I36" s="90">
        <v>260</v>
      </c>
      <c r="J36" s="91"/>
      <c r="K36" s="70"/>
      <c r="L36" s="36" t="s">
        <v>22</v>
      </c>
      <c r="M36" s="57"/>
      <c r="N36" s="57"/>
      <c r="O36" s="57"/>
      <c r="P36" s="57"/>
      <c r="Q36" s="57"/>
      <c r="R36" s="57"/>
    </row>
    <row r="37" ht="17.1" customHeight="1" spans="1:18">
      <c r="A37" s="11">
        <v>32</v>
      </c>
      <c r="B37" s="38"/>
      <c r="C37" s="16" t="s">
        <v>67</v>
      </c>
      <c r="D37" s="17" t="s">
        <v>68</v>
      </c>
      <c r="E37" s="18" t="s">
        <v>21</v>
      </c>
      <c r="F37" s="18">
        <v>2017</v>
      </c>
      <c r="G37" s="18"/>
      <c r="H37" s="18"/>
      <c r="I37" s="90"/>
      <c r="J37" s="91"/>
      <c r="K37" s="70">
        <v>0.6</v>
      </c>
      <c r="L37" s="36" t="s">
        <v>24</v>
      </c>
      <c r="M37" s="57"/>
      <c r="N37" s="57"/>
      <c r="O37" s="57"/>
      <c r="P37" s="57"/>
      <c r="Q37" s="57"/>
      <c r="R37" s="57"/>
    </row>
    <row r="38" ht="17.1" customHeight="1" spans="1:18">
      <c r="A38" s="11">
        <v>33</v>
      </c>
      <c r="B38" s="43" t="s">
        <v>69</v>
      </c>
      <c r="C38" s="28" t="s">
        <v>70</v>
      </c>
      <c r="D38" s="29" t="s">
        <v>20</v>
      </c>
      <c r="E38" s="30" t="s">
        <v>26</v>
      </c>
      <c r="F38" s="30">
        <v>2008</v>
      </c>
      <c r="G38" s="30">
        <v>14</v>
      </c>
      <c r="H38" s="30">
        <v>14</v>
      </c>
      <c r="I38" s="85">
        <v>300</v>
      </c>
      <c r="J38" s="86">
        <v>300</v>
      </c>
      <c r="K38" s="79">
        <v>0.99</v>
      </c>
      <c r="L38" s="99" t="s">
        <v>22</v>
      </c>
      <c r="M38" s="57"/>
      <c r="N38" s="100">
        <v>300</v>
      </c>
      <c r="O38" s="57"/>
      <c r="P38" s="57"/>
      <c r="Q38" s="57"/>
      <c r="R38" s="57"/>
    </row>
    <row r="39" ht="17.1" customHeight="1" spans="1:18">
      <c r="A39" s="11">
        <v>34</v>
      </c>
      <c r="B39" s="44"/>
      <c r="C39" s="24" t="s">
        <v>71</v>
      </c>
      <c r="D39" s="25" t="s">
        <v>29</v>
      </c>
      <c r="E39" s="26" t="s">
        <v>21</v>
      </c>
      <c r="F39" s="26">
        <v>2016</v>
      </c>
      <c r="G39" s="26"/>
      <c r="H39" s="26"/>
      <c r="I39" s="92">
        <v>1860</v>
      </c>
      <c r="J39" s="93">
        <v>550</v>
      </c>
      <c r="K39" s="76">
        <v>0.3</v>
      </c>
      <c r="L39" s="94" t="s">
        <v>27</v>
      </c>
      <c r="M39" s="57"/>
      <c r="N39" s="57"/>
      <c r="O39" s="57">
        <v>1860</v>
      </c>
      <c r="P39" s="57"/>
      <c r="Q39" s="57"/>
      <c r="R39" s="57"/>
    </row>
    <row r="40" ht="17.1" customHeight="1" spans="1:18">
      <c r="A40" s="11">
        <v>35</v>
      </c>
      <c r="B40" s="44"/>
      <c r="C40" s="28" t="s">
        <v>72</v>
      </c>
      <c r="D40" s="29" t="s">
        <v>20</v>
      </c>
      <c r="E40" s="30" t="s">
        <v>26</v>
      </c>
      <c r="F40" s="30">
        <v>2015</v>
      </c>
      <c r="G40" s="30">
        <v>22</v>
      </c>
      <c r="H40" s="30">
        <v>29</v>
      </c>
      <c r="I40" s="85">
        <v>884</v>
      </c>
      <c r="J40" s="86">
        <v>650</v>
      </c>
      <c r="K40" s="79">
        <v>0.7</v>
      </c>
      <c r="L40" s="99" t="s">
        <v>49</v>
      </c>
      <c r="M40" s="57"/>
      <c r="N40" s="100">
        <v>884</v>
      </c>
      <c r="O40" s="57"/>
      <c r="P40" s="57"/>
      <c r="Q40" s="57"/>
      <c r="R40" s="57"/>
    </row>
    <row r="41" ht="17.1" customHeight="1" spans="1:18">
      <c r="A41" s="11">
        <v>36</v>
      </c>
      <c r="B41" s="44"/>
      <c r="C41" s="24" t="s">
        <v>73</v>
      </c>
      <c r="D41" s="25" t="s">
        <v>20</v>
      </c>
      <c r="E41" s="26" t="s">
        <v>26</v>
      </c>
      <c r="F41" s="26">
        <v>2012</v>
      </c>
      <c r="G41" s="26">
        <v>10</v>
      </c>
      <c r="H41" s="26">
        <v>10</v>
      </c>
      <c r="I41" s="92">
        <v>537</v>
      </c>
      <c r="J41" s="93">
        <v>475</v>
      </c>
      <c r="K41" s="76">
        <v>0.85</v>
      </c>
      <c r="L41" s="94" t="s">
        <v>22</v>
      </c>
      <c r="M41" s="57"/>
      <c r="N41" s="57"/>
      <c r="O41" s="57">
        <v>537</v>
      </c>
      <c r="P41" s="57"/>
      <c r="Q41" s="57"/>
      <c r="R41" s="57"/>
    </row>
    <row r="42" ht="17.1" customHeight="1" spans="1:18">
      <c r="A42" s="11">
        <v>37</v>
      </c>
      <c r="B42" s="44"/>
      <c r="C42" s="24" t="s">
        <v>74</v>
      </c>
      <c r="D42" s="25" t="s">
        <v>29</v>
      </c>
      <c r="E42" s="26" t="s">
        <v>26</v>
      </c>
      <c r="F42" s="26">
        <v>2015</v>
      </c>
      <c r="G42" s="26">
        <v>11</v>
      </c>
      <c r="H42" s="26">
        <v>22</v>
      </c>
      <c r="I42" s="92">
        <v>791</v>
      </c>
      <c r="J42" s="93">
        <v>506</v>
      </c>
      <c r="K42" s="76">
        <v>0.7</v>
      </c>
      <c r="L42" s="94" t="s">
        <v>41</v>
      </c>
      <c r="M42" s="57"/>
      <c r="N42" s="57"/>
      <c r="O42" s="57">
        <v>791</v>
      </c>
      <c r="P42" s="57"/>
      <c r="Q42" s="57"/>
      <c r="R42" s="57"/>
    </row>
    <row r="43" ht="17.1" customHeight="1" spans="1:18">
      <c r="A43" s="11">
        <v>38</v>
      </c>
      <c r="B43" s="44"/>
      <c r="C43" s="28" t="s">
        <v>75</v>
      </c>
      <c r="D43" s="29" t="s">
        <v>29</v>
      </c>
      <c r="E43" s="30" t="s">
        <v>21</v>
      </c>
      <c r="F43" s="30">
        <v>2015</v>
      </c>
      <c r="G43" s="30">
        <v>4</v>
      </c>
      <c r="H43" s="30">
        <v>6</v>
      </c>
      <c r="I43" s="85">
        <v>426</v>
      </c>
      <c r="J43" s="86">
        <v>298</v>
      </c>
      <c r="K43" s="79">
        <v>0.7</v>
      </c>
      <c r="L43" s="99" t="s">
        <v>49</v>
      </c>
      <c r="M43" s="57"/>
      <c r="N43" s="57">
        <v>426</v>
      </c>
      <c r="O43" s="57"/>
      <c r="P43" s="57"/>
      <c r="Q43" s="57">
        <v>6</v>
      </c>
      <c r="R43" s="57"/>
    </row>
    <row r="44" ht="17.1" customHeight="1" spans="1:18">
      <c r="A44" s="11">
        <v>39</v>
      </c>
      <c r="B44" s="45"/>
      <c r="C44" s="28" t="s">
        <v>76</v>
      </c>
      <c r="D44" s="29" t="s">
        <v>20</v>
      </c>
      <c r="E44" s="30" t="s">
        <v>21</v>
      </c>
      <c r="F44" s="30">
        <v>2012</v>
      </c>
      <c r="G44" s="30"/>
      <c r="H44" s="30">
        <v>29</v>
      </c>
      <c r="I44" s="85">
        <v>1798</v>
      </c>
      <c r="J44" s="86">
        <v>1300</v>
      </c>
      <c r="K44" s="79">
        <v>0.7</v>
      </c>
      <c r="L44" s="99" t="s">
        <v>24</v>
      </c>
      <c r="M44" s="57"/>
      <c r="N44" s="57">
        <v>1798</v>
      </c>
      <c r="O44" s="57"/>
      <c r="P44" s="57"/>
      <c r="Q44" s="57"/>
      <c r="R44" s="57"/>
    </row>
    <row r="45" ht="17.1" customHeight="1" spans="1:18">
      <c r="A45" s="11">
        <v>40</v>
      </c>
      <c r="B45" s="45" t="s">
        <v>77</v>
      </c>
      <c r="C45" s="16" t="s">
        <v>78</v>
      </c>
      <c r="D45" s="17" t="s">
        <v>20</v>
      </c>
      <c r="E45" s="18" t="s">
        <v>26</v>
      </c>
      <c r="F45" s="18">
        <v>2016</v>
      </c>
      <c r="G45" s="18"/>
      <c r="H45" s="18"/>
      <c r="I45" s="90"/>
      <c r="J45" s="91"/>
      <c r="K45" s="70">
        <v>0.4</v>
      </c>
      <c r="L45" s="36" t="s">
        <v>41</v>
      </c>
      <c r="M45" s="57"/>
      <c r="N45" s="57"/>
      <c r="O45" s="57"/>
      <c r="P45" s="57"/>
      <c r="Q45" s="57"/>
      <c r="R45" s="57"/>
    </row>
    <row r="46" ht="17.1" customHeight="1" spans="1:18">
      <c r="A46" s="11">
        <v>41</v>
      </c>
      <c r="B46" s="45" t="s">
        <v>79</v>
      </c>
      <c r="C46" s="28" t="s">
        <v>80</v>
      </c>
      <c r="D46" s="29" t="s">
        <v>20</v>
      </c>
      <c r="E46" s="30" t="s">
        <v>26</v>
      </c>
      <c r="F46" s="30">
        <v>2012</v>
      </c>
      <c r="G46" s="30">
        <v>3</v>
      </c>
      <c r="H46" s="30">
        <v>7</v>
      </c>
      <c r="I46" s="85">
        <v>504</v>
      </c>
      <c r="J46" s="86">
        <v>450</v>
      </c>
      <c r="K46" s="79">
        <v>0.9</v>
      </c>
      <c r="L46" s="99" t="s">
        <v>41</v>
      </c>
      <c r="M46" s="57"/>
      <c r="N46" s="57">
        <v>504</v>
      </c>
      <c r="O46" s="57"/>
      <c r="P46" s="57"/>
      <c r="Q46" s="57"/>
      <c r="R46" s="57"/>
    </row>
    <row r="47" ht="17.1" customHeight="1" spans="1:18">
      <c r="A47" s="11">
        <v>42</v>
      </c>
      <c r="B47" s="45" t="s">
        <v>81</v>
      </c>
      <c r="C47" s="24" t="s">
        <v>82</v>
      </c>
      <c r="D47" s="25" t="s">
        <v>20</v>
      </c>
      <c r="E47" s="26" t="s">
        <v>26</v>
      </c>
      <c r="F47" s="26">
        <v>2014</v>
      </c>
      <c r="G47" s="26">
        <v>18</v>
      </c>
      <c r="H47" s="26">
        <v>36</v>
      </c>
      <c r="I47" s="92">
        <v>1350</v>
      </c>
      <c r="J47" s="93">
        <v>900</v>
      </c>
      <c r="K47" s="76">
        <v>0.8</v>
      </c>
      <c r="L47" s="94" t="s">
        <v>49</v>
      </c>
      <c r="M47" s="57"/>
      <c r="N47" s="57"/>
      <c r="O47" s="57">
        <v>1350</v>
      </c>
      <c r="P47" s="57"/>
      <c r="Q47" s="57"/>
      <c r="R47" s="57"/>
    </row>
    <row r="48" ht="17.1" customHeight="1" spans="1:18">
      <c r="A48" s="11">
        <v>43</v>
      </c>
      <c r="B48" s="43" t="s">
        <v>83</v>
      </c>
      <c r="C48" s="16" t="s">
        <v>84</v>
      </c>
      <c r="D48" s="17" t="s">
        <v>20</v>
      </c>
      <c r="E48" s="18" t="s">
        <v>21</v>
      </c>
      <c r="F48" s="18">
        <v>2019</v>
      </c>
      <c r="G48" s="18">
        <v>9</v>
      </c>
      <c r="H48" s="18">
        <v>12</v>
      </c>
      <c r="I48" s="90">
        <v>1280</v>
      </c>
      <c r="J48" s="91">
        <v>850</v>
      </c>
      <c r="K48" s="70">
        <f>J48/I48</f>
        <v>0.6640625</v>
      </c>
      <c r="L48" s="36" t="s">
        <v>49</v>
      </c>
      <c r="M48" s="57"/>
      <c r="N48" s="57"/>
      <c r="O48" s="57"/>
      <c r="P48" s="57"/>
      <c r="Q48" s="57"/>
      <c r="R48" s="57"/>
    </row>
    <row r="49" ht="17.1" customHeight="1" spans="1:18">
      <c r="A49" s="11">
        <v>44</v>
      </c>
      <c r="B49" s="44"/>
      <c r="C49" s="24" t="s">
        <v>85</v>
      </c>
      <c r="D49" s="25" t="s">
        <v>20</v>
      </c>
      <c r="E49" s="26" t="s">
        <v>26</v>
      </c>
      <c r="F49" s="26">
        <v>2017</v>
      </c>
      <c r="G49" s="26"/>
      <c r="H49" s="26">
        <v>12</v>
      </c>
      <c r="I49" s="92">
        <v>1500</v>
      </c>
      <c r="J49" s="93">
        <v>615</v>
      </c>
      <c r="K49" s="76">
        <v>0.35</v>
      </c>
      <c r="L49" s="94" t="s">
        <v>41</v>
      </c>
      <c r="M49" s="57"/>
      <c r="N49" s="57"/>
      <c r="O49" s="57">
        <v>1500</v>
      </c>
      <c r="P49" s="57"/>
      <c r="Q49" s="57"/>
      <c r="R49" s="57"/>
    </row>
    <row r="50" ht="17.1" customHeight="1" spans="1:18">
      <c r="A50" s="11">
        <v>45</v>
      </c>
      <c r="B50" s="45"/>
      <c r="C50" s="24" t="s">
        <v>86</v>
      </c>
      <c r="D50" s="25" t="s">
        <v>20</v>
      </c>
      <c r="E50" s="26" t="s">
        <v>26</v>
      </c>
      <c r="F50" s="26">
        <v>2017</v>
      </c>
      <c r="G50" s="26"/>
      <c r="H50" s="26">
        <v>13</v>
      </c>
      <c r="I50" s="92">
        <v>1800</v>
      </c>
      <c r="J50" s="93">
        <v>420</v>
      </c>
      <c r="K50" s="76">
        <v>0.25</v>
      </c>
      <c r="L50" s="94" t="s">
        <v>41</v>
      </c>
      <c r="M50" s="57"/>
      <c r="N50" s="57"/>
      <c r="O50" s="57">
        <v>1800</v>
      </c>
      <c r="P50" s="57"/>
      <c r="Q50" s="57"/>
      <c r="R50" s="57"/>
    </row>
    <row r="51" ht="17.1" customHeight="1" spans="1:15">
      <c r="A51" s="18"/>
      <c r="B51" s="46" t="s">
        <v>87</v>
      </c>
      <c r="C51" s="47">
        <v>45</v>
      </c>
      <c r="D51" s="48"/>
      <c r="E51" s="49"/>
      <c r="F51" s="49"/>
      <c r="G51" s="49"/>
      <c r="H51" s="49"/>
      <c r="I51" s="101">
        <f>SUM(I5:I50)</f>
        <v>43586</v>
      </c>
      <c r="J51" s="101"/>
      <c r="K51" s="101"/>
      <c r="L51" s="102"/>
      <c r="M51">
        <f>SUM(M5:M50)</f>
        <v>7174</v>
      </c>
      <c r="N51">
        <f>SUM(N5:N50)</f>
        <v>11296</v>
      </c>
      <c r="O51">
        <f>SUM(O5:O50)</f>
        <v>15796</v>
      </c>
    </row>
    <row r="52" customHeight="1" spans="1:12">
      <c r="A52" s="50"/>
      <c r="B52" s="51"/>
      <c r="C52" s="52"/>
      <c r="D52" s="52"/>
      <c r="E52" s="52"/>
      <c r="F52" s="52"/>
      <c r="G52" s="52"/>
      <c r="H52" s="52"/>
      <c r="I52" s="52"/>
      <c r="J52" s="52"/>
      <c r="K52" s="52"/>
      <c r="L52" s="103"/>
    </row>
    <row r="53" customHeight="1" spans="1:12">
      <c r="A53" s="53" t="s">
        <v>88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104"/>
    </row>
    <row r="54" customHeight="1" spans="1:12">
      <c r="A54" s="53" t="s">
        <v>89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104"/>
    </row>
    <row r="56" spans="14:14">
      <c r="N56">
        <v>14666</v>
      </c>
    </row>
    <row r="57" spans="13:13">
      <c r="M57">
        <v>1.394</v>
      </c>
    </row>
  </sheetData>
  <mergeCells count="28">
    <mergeCell ref="A1:L1"/>
    <mergeCell ref="A2:C2"/>
    <mergeCell ref="D2:K2"/>
    <mergeCell ref="A3:A4"/>
    <mergeCell ref="B3:B4"/>
    <mergeCell ref="B5:B12"/>
    <mergeCell ref="B13:B15"/>
    <mergeCell ref="B16:B18"/>
    <mergeCell ref="B19:B24"/>
    <mergeCell ref="B25:B29"/>
    <mergeCell ref="B30:B33"/>
    <mergeCell ref="B34:B37"/>
    <mergeCell ref="B38:B44"/>
    <mergeCell ref="B48:B50"/>
    <mergeCell ref="C3:C4"/>
    <mergeCell ref="D3:D4"/>
    <mergeCell ref="E3:E4"/>
    <mergeCell ref="F3:F4"/>
    <mergeCell ref="G3:G4"/>
    <mergeCell ref="G23:G24"/>
    <mergeCell ref="H3:H4"/>
    <mergeCell ref="I3:I4"/>
    <mergeCell ref="I23:I24"/>
    <mergeCell ref="J3:J4"/>
    <mergeCell ref="J23:J24"/>
    <mergeCell ref="K3:K4"/>
    <mergeCell ref="K23:K24"/>
    <mergeCell ref="L2:L4"/>
  </mergeCells>
  <printOptions horizontalCentered="1"/>
  <pageMargins left="0.118055555555556" right="0.15625" top="0.235416666666667" bottom="0.471527777777778" header="0.196527777777778" footer="0.432638888888889"/>
  <pageSetup paperSize="8" scale="9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ID数位传媒</dc:title>
  <dc:subject>商业楼宇广告</dc:subject>
  <dc:creator>Administrator</dc:creator>
  <cp:lastModifiedBy>A  執念 </cp:lastModifiedBy>
  <dcterms:created xsi:type="dcterms:W3CDTF">1996-12-16T09:32:00Z</dcterms:created>
  <dcterms:modified xsi:type="dcterms:W3CDTF">2022-07-26T07:47:46Z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84A6F4B49119483694A2F0C6343B6AB3</vt:lpwstr>
  </property>
  <property fmtid="{D5CDD505-2E9C-101B-9397-08002B2CF9AE}" pid="4" name="commondata">
    <vt:lpwstr>eyJoZGlkIjoiMWUxYzQzZWU0ZWNkMjliMTYyNTg4MGI0M2ZiZTc2N2UifQ==</vt:lpwstr>
  </property>
</Properties>
</file>